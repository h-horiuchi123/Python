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0.91.6.115\2025年度\41_基盤技術G_共有\50.認証・CCoE\104.RAG基盤\100.受託案件\003.【共通RAG基盤の構築STEP1】詳細設計から移行\900.個人\三菱電機\90_個人\堀内\ファイル連携\20260326_案件一覧\"/>
    </mc:Choice>
  </mc:AlternateContent>
  <bookViews>
    <workbookView xWindow="0" yWindow="0" windowWidth="28800" windowHeight="13020" activeTab="1"/>
  </bookViews>
  <sheets>
    <sheet name="Sheet1" sheetId="1" r:id="rId1"/>
    <sheet name="備考" sheetId="2" r:id="rId2"/>
    <sheet name="Config" sheetId="3" state="hidden" r:id="rId3"/>
  </sheets>
  <definedNames>
    <definedName name="_xlnm._FilterDatabase" localSheetId="0" hidden="1">Sheet1!$B$10:$H$36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1" i="2" l="1"/>
  <c r="I32" i="2"/>
  <c r="I33" i="2"/>
  <c r="I34" i="2"/>
  <c r="I35" i="2"/>
  <c r="I36" i="2"/>
  <c r="I37" i="2"/>
  <c r="I38" i="2"/>
  <c r="I39" i="2"/>
  <c r="I40" i="2"/>
  <c r="I41" i="2"/>
  <c r="I42" i="2"/>
  <c r="I43" i="2"/>
  <c r="I44" i="2"/>
  <c r="I45" i="2"/>
  <c r="I46" i="2"/>
  <c r="I47" i="2"/>
  <c r="I48" i="2"/>
  <c r="I49" i="2"/>
  <c r="I31" i="2"/>
  <c r="B12" i="1" l="1"/>
  <c r="B13" i="1"/>
  <c r="B14" i="1"/>
  <c r="B15" i="1"/>
  <c r="B16" i="1"/>
  <c r="B17" i="1"/>
  <c r="B18" i="1"/>
  <c r="B19" i="1"/>
  <c r="B20" i="1"/>
  <c r="B21" i="1"/>
  <c r="B22" i="1"/>
  <c r="B23" i="1"/>
  <c r="B24" i="1"/>
  <c r="B25" i="1"/>
  <c r="B26" i="1"/>
  <c r="B27" i="1"/>
  <c r="B28" i="1"/>
  <c r="B29" i="1"/>
  <c r="B30" i="1"/>
  <c r="B31" i="1"/>
  <c r="B32" i="1"/>
  <c r="B33" i="1"/>
  <c r="B34" i="1"/>
  <c r="B35" i="1"/>
  <c r="B36" i="1"/>
  <c r="B11" i="1"/>
</calcChain>
</file>

<file path=xl/sharedStrings.xml><?xml version="1.0" encoding="utf-8"?>
<sst xmlns="http://schemas.openxmlformats.org/spreadsheetml/2006/main" count="302" uniqueCount="159">
  <si>
    <t>項目</t>
  </si>
  <si>
    <t>内容</t>
  </si>
  <si>
    <t>優先度</t>
  </si>
  <si>
    <t>区分</t>
  </si>
  <si>
    <t>案件</t>
  </si>
  <si>
    <t>会話履歴保持</t>
  </si>
  <si>
    <t>過去会話の履歴を保持し、分析などに利用可能にする</t>
  </si>
  <si>
    <t>２Q</t>
  </si>
  <si>
    <t>中</t>
  </si>
  <si>
    <t>UC主管・精度</t>
  </si>
  <si>
    <t>改良①</t>
  </si>
  <si>
    <t>ユーザFBコメント収集</t>
  </si>
  <si>
    <t>回答に対するFBとしてコメントを収集できるようにする</t>
  </si>
  <si>
    <t>機能が具備されても利用頻度が疑問（Good,BadのFBよりも頻度はさがる）
→データ室の意見を確認</t>
    <phoneticPr fontId="3"/>
  </si>
  <si>
    <t>改良②</t>
  </si>
  <si>
    <t>引用元新イントラリンクの表示</t>
  </si>
  <si>
    <t>検索結果の引用元として新イントラのURLを表示する</t>
  </si>
  <si>
    <t>→データ室の意見を確認</t>
  </si>
  <si>
    <t>低</t>
  </si>
  <si>
    <t>ユーザ利便性</t>
  </si>
  <si>
    <t>PG向け環境整備</t>
  </si>
  <si>
    <t>PG行為規制の観点から整備していないPG向け環境を提供する</t>
  </si>
  <si>
    <t>ー</t>
  </si>
  <si>
    <t>環境</t>
  </si>
  <si>
    <t>－</t>
  </si>
  <si>
    <t>事業会社別環境</t>
  </si>
  <si>
    <t>支払い単位の観点から事業会社別で環境を整備する（テナント分割）</t>
  </si>
  <si>
    <t>共通ポータルUI改善</t>
  </si>
  <si>
    <t>UI改善
共通ポータルの利便性向上（Bingなど外部リンクの掲載など）
新イントラから共通ポータルに入れるように整備</t>
    <phoneticPr fontId="3"/>
  </si>
  <si>
    <t>低</t>
    <phoneticPr fontId="3"/>
  </si>
  <si>
    <t>改良②</t>
    <phoneticPr fontId="3"/>
  </si>
  <si>
    <t>Data Collector APIの廃止対応</t>
  </si>
  <si>
    <t>維持②</t>
  </si>
  <si>
    <t>改良①でも可</t>
    <rPh sb="0" eb="2">
      <t>カイリョウ</t>
    </rPh>
    <rPh sb="5" eb="6">
      <t>カ</t>
    </rPh>
    <phoneticPr fontId="3"/>
  </si>
  <si>
    <t>ユースケースサブディレクトリ前方一致問題</t>
  </si>
  <si>
    <t>ユースケースの短縮名が他の短縮名を前方一致で包含するような場合、Nginx設定をしていなくても画面が表示できてしまう事象の対応</t>
  </si>
  <si>
    <t>セマンティックチャンクのモデル変更を運用者UIから実施可能にする</t>
  </si>
  <si>
    <t>UCごとにチャンキングアプリのモデル変更が行えるようにする</t>
  </si>
  <si>
    <t>機能が具備されても利用頻度が疑問
→データ室の意見を確認</t>
    <phoneticPr fontId="3"/>
  </si>
  <si>
    <r>
      <rPr>
        <sz val="11"/>
        <rFont val="Meiryo UI"/>
        <family val="3"/>
        <charset val="128"/>
      </rPr>
      <t>改良②</t>
    </r>
    <phoneticPr fontId="3"/>
  </si>
  <si>
    <t>会話ログ出力機能</t>
  </si>
  <si>
    <t>アプリケーションログの中にユーザーの質問・生成AIからの回答ログなどを出力する
※STEP1ではPGユーザーが除外できないため見送りとした</t>
    <phoneticPr fontId="3"/>
  </si>
  <si>
    <t>環境(ｾｷｭﾘﾃｨ)</t>
  </si>
  <si>
    <t>10MB以上のファイルを運用UIから登録できるようにする</t>
  </si>
  <si>
    <t>【対応案】
・アップロードの制限をなくす、上限引き上げる
・利用者UI側で10MB以上のファイルを表示させない制御を実施する
・アップロードを分割して行えるようにし、マニュアル名が同じなら合わせて1ファイルとして扱う</t>
    <phoneticPr fontId="3"/>
  </si>
  <si>
    <t>→データ室の意見を確認
２Q？</t>
    <phoneticPr fontId="3"/>
  </si>
  <si>
    <t>マニュアルIDが画面に表示される</t>
  </si>
  <si>
    <t>【対応】
マニュアルID→ドキュメント登録時に自動採番(0000~9999)
マニュアルIDの画面表示→表示しないようにUI修正
マニュアルの表示順序制御→ドキュメント単位にソートキー項目を追加し、ソートキーで順序を制御
マニュアルグループの順序制御→マニュアルグループ単位にソートキー項目を追加し、ソートキーで順序を制御</t>
    <phoneticPr fontId="3"/>
  </si>
  <si>
    <t>改良②</t>
    <rPh sb="0" eb="2">
      <t>カイリョウ</t>
    </rPh>
    <phoneticPr fontId="3"/>
  </si>
  <si>
    <t>LLMモデルのEOL対応</t>
  </si>
  <si>
    <t>LLMの終了日に合わせ、別のバージョン・モデルに移行する運用手順を作成する</t>
  </si>
  <si>
    <t>2Q
→修正箇所の整理・改修の方針まで本年度実施</t>
    <phoneticPr fontId="3"/>
  </si>
  <si>
    <t>高</t>
  </si>
  <si>
    <t>維持①</t>
    <phoneticPr fontId="3"/>
  </si>
  <si>
    <t>EmbeddingモデルのEOL対応</t>
  </si>
  <si>
    <t>Embeddingモデルの終了日に合わせ、別のバージョン・モデルに移行する運用手順を作成する
リージョン、クォータ、料金、精度等々、諸々のリスクを整理した上で検討する必要あり
Embeddingモデルが廃止された場合は、全データの洗い替えが必要</t>
    <phoneticPr fontId="3"/>
  </si>
  <si>
    <t>バックアップの取得期間修正</t>
  </si>
  <si>
    <t>バックアップジョブで取得するStorageAccountのデータについて、バックアップ取得期間を無期限から1週間に修正する</t>
  </si>
  <si>
    <t>維持②</t>
    <rPh sb="0" eb="2">
      <t>イジ</t>
    </rPh>
    <phoneticPr fontId="3"/>
  </si>
  <si>
    <t>AI searchのバックアップ構成修正</t>
  </si>
  <si>
    <t>AI searchのレプリカが１のため、複数構成にすることでバックアップ可能なようにする。</t>
  </si>
  <si>
    <t>JSONエラーについて</t>
  </si>
  <si>
    <t>生成AIの回答をJSON形式で期待している箇所について、回答がJSON形式として適切でなかった場合にエラーとなる</t>
  </si>
  <si>
    <t>4月中
→STEP2-2の総合テスト完了後から年度内の修正目途に対応実施（ACN）</t>
    <phoneticPr fontId="3"/>
  </si>
  <si>
    <t>2025年度</t>
    <rPh sb="4" eb="6">
      <t>ネンド</t>
    </rPh>
    <phoneticPr fontId="3"/>
  </si>
  <si>
    <t>ログが表示エラーについて</t>
  </si>
  <si>
    <t>ログを閲覧する際にサイズが長すぎると上限に引っ掛かり途中で切れてしまう</t>
  </si>
  <si>
    <t>精度改善環境ができれば急ぎではない
・会話ログ出力機能と関連あり</t>
    <phoneticPr fontId="3"/>
  </si>
  <si>
    <t>改良①</t>
    <rPh sb="0" eb="2">
      <t>カイリョウ</t>
    </rPh>
    <phoneticPr fontId="3"/>
  </si>
  <si>
    <t>マニュアルグループの並び順について</t>
  </si>
  <si>
    <t>マニュアルグループの並び順が想定と異なってしまっている</t>
  </si>
  <si>
    <t>１Q中（6月）
以下の2点が問題
・申請書が誤って記載されている点
・運用者UIと利用者UIそれぞれで並び順が違う点→運用者UIに揃えるべき</t>
    <phoneticPr fontId="3"/>
  </si>
  <si>
    <t>回答生成のストリーム表示について</t>
  </si>
  <si>
    <t>東電環境で利用した際に回答生成がストリーム表示されない
⇒回答までのタイムラグが発生していて、利用者がもどかしく感じる
⇒TEPSYS環境ではストリーム表示されている</t>
    <phoneticPr fontId="3"/>
  </si>
  <si>
    <t>ASAP
→個別UCとしての払出をベースに検討
　通常申請で対応（？）</t>
    <phoneticPr fontId="3"/>
  </si>
  <si>
    <t>個別認可機能について</t>
  </si>
  <si>
    <t>運用者UIで登録済みのファイル中身を確認できない</t>
  </si>
  <si>
    <t>２Q,３Q</t>
  </si>
  <si>
    <t>UC登録済みのファイル一覧を詳細情報含めてエクスポートしたい</t>
  </si>
  <si>
    <t>画面上ではなく、エクスポート機能がほしい</t>
  </si>
  <si>
    <t>３Q</t>
  </si>
  <si>
    <t>ドキュメント登録時にjson取り込みエラーが発生</t>
  </si>
  <si>
    <t>システム統括室のUCにおいて、json取り込み時にエラーが5件発生</t>
  </si>
  <si>
    <t>→STEP2-2の総合テスト完了後から年度内の修正目途に対応実施（ACN）</t>
  </si>
  <si>
    <t>土建室のドキュメント登録作業エラー</t>
  </si>
  <si>
    <t>ベクトルDBへの格納処理が変更できないタイムアウト上限に達し処理が中断されてしまう。土建室側より登録不要との連絡あり。</t>
  </si>
  <si>
    <t>→ワークアラウンドとして、ドキュメント分割したうえで登録可能となるか年度内に確認する</t>
  </si>
  <si>
    <t>維持①</t>
    <rPh sb="0" eb="2">
      <t>イジ</t>
    </rPh>
    <phoneticPr fontId="3"/>
  </si>
  <si>
    <t>人月</t>
    <rPh sb="0" eb="2">
      <t>ニンゲツ</t>
    </rPh>
    <phoneticPr fontId="3"/>
  </si>
  <si>
    <t>ドキュメントの説明文を作成する手段がない。精度改善等の開発をする手段がない。</t>
    <phoneticPr fontId="3"/>
  </si>
  <si>
    <t>説明文作成者、技術開発者向け環境</t>
    <phoneticPr fontId="3"/>
  </si>
  <si>
    <t>Data Collector API廃止対応</t>
  </si>
  <si>
    <t>サブディレクトリ前方一致問題</t>
  </si>
  <si>
    <t>共通</t>
  </si>
  <si>
    <t>管理・予備・ドキュメント整理</t>
  </si>
  <si>
    <t>会話履歴保持（分析利用）</t>
  </si>
  <si>
    <t>開発者向け環境整備</t>
  </si>
  <si>
    <t>-</t>
  </si>
  <si>
    <t>マニュアルID・順序制御</t>
  </si>
  <si>
    <t>Azure RAG環境 改良案件 概算工数およびリスク分析一覧</t>
  </si>
  <si>
    <t>リスク度</t>
  </si>
  <si>
    <t>リスク内容</t>
  </si>
  <si>
    <t>バックアップ取得期間修正</t>
  </si>
  <si>
    <t>AI searchバックアップ構成修正</t>
  </si>
  <si>
    <t>マニュアルグループ並び順修正</t>
  </si>
  <si>
    <t>10MB超ファイル登録対応</t>
  </si>
  <si>
    <t>ログ表示エラー修正</t>
  </si>
  <si>
    <t>回答生成ストリーム表示対応</t>
  </si>
  <si>
    <t>個別認可機能の実装</t>
  </si>
  <si>
    <t>チャンクモデル変更UI実装</t>
  </si>
  <si>
    <t>引用元リンク表示（新イントラ）</t>
  </si>
  <si>
    <t>ファイル一覧エクスポート機能</t>
  </si>
  <si>
    <t>高</t>
    <rPh sb="0" eb="1">
      <t>コウ</t>
    </rPh>
    <phoneticPr fontId="3"/>
  </si>
  <si>
    <t>中</t>
    <rPh sb="0" eb="1">
      <t>チュウ</t>
    </rPh>
    <phoneticPr fontId="3"/>
  </si>
  <si>
    <t>低</t>
    <rPh sb="0" eb="1">
      <t>テイ</t>
    </rPh>
    <phoneticPr fontId="3"/>
  </si>
  <si>
    <t>分析要件（抽出項目・形式）の未確定によるDB設計の根本的な見直し・手戻り。</t>
    <phoneticPr fontId="3"/>
  </si>
  <si>
    <t>ログ出力によるパフォーマンス劣化、および機密情報の意図しない混入。</t>
    <phoneticPr fontId="3"/>
  </si>
  <si>
    <t>Azureインフラの制限回避のための分割アップロード実装への工数増。</t>
    <phoneticPr fontId="3"/>
  </si>
  <si>
    <t>ネットワーク経路（プロキシ/WAF）のSSE遮断による、インフラ側の調整発生。</t>
    <phoneticPr fontId="3"/>
  </si>
  <si>
    <t>セキュリティポリシーとの整合性確認および環境分離に伴う構築ミス。</t>
    <phoneticPr fontId="3"/>
  </si>
  <si>
    <t>認可マトリクスの複雑化に伴う権限不備（情報漏洩）のリスクとテスト工数増。</t>
    <phoneticPr fontId="3"/>
  </si>
  <si>
    <t>表示制限の所在（Azure/アプリ/ブラウザ）の特定作業難航による調査期間の長期化。</t>
    <phoneticPr fontId="3"/>
  </si>
  <si>
    <t>新APIへの移行に伴う認証基盤の再設計およびログ到達確認の難航。</t>
    <phoneticPr fontId="3"/>
  </si>
  <si>
    <t>Nginx設定の評価順序誤りによる、他ユースケースへのアクセス不可（デグレード）。</t>
    <phoneticPr fontId="3"/>
  </si>
  <si>
    <t>設定ミスによる重要データの早期消去、または長期保持によるストレージ費用の増大。</t>
    <phoneticPr fontId="3"/>
  </si>
  <si>
    <t>レプリカ増設によるランニングコストの倍増、および切替時の検索瞬断。</t>
    <phoneticPr fontId="3"/>
  </si>
  <si>
    <t>既存データのソート順序定義の不備による、想定外の表示順発生と再修正工数。</t>
    <phoneticPr fontId="3"/>
  </si>
  <si>
    <t>UI変更箇所が多岐にわたることによる、フロントエンド開発および検証の工数膨張。</t>
    <phoneticPr fontId="3"/>
  </si>
  <si>
    <t>移行前後のURL不整合によるリンク切れ、およびパス変換ロジックのバグ。</t>
    <phoneticPr fontId="3"/>
  </si>
  <si>
    <t>ブラウザ・端末間の表示互換性確認（CSS調整）の繰り返しによる工数増。</t>
    <phoneticPr fontId="3"/>
  </si>
  <si>
    <t>モデル切替時の異常終了リスク、および不適切なモデル選択によるRAG精度の低下。</t>
    <phoneticPr fontId="3"/>
  </si>
  <si>
    <t>既存データへのソートキー与時のデータ不整合。</t>
    <phoneticPr fontId="3"/>
  </si>
  <si>
    <t>大量抽出時のタイムアウト発生、およびマルチバイト文字による文字化け対応。</t>
    <phoneticPr fontId="3"/>
  </si>
  <si>
    <t>定例進捗報告および全項目のドキュメント整合性確保。</t>
    <rPh sb="0" eb="2">
      <t>テイレイ</t>
    </rPh>
    <phoneticPr fontId="3"/>
  </si>
  <si>
    <t>Nginx評価順序誤りによる、他ユースケースへのアクセス不可（デグレ）。</t>
    <phoneticPr fontId="3"/>
  </si>
  <si>
    <t>新APIへの移行に伴う認証基盤の再設計およびログ到達確認の難航に伴う長期化。</t>
    <rPh sb="32" eb="33">
      <t>トモナ</t>
    </rPh>
    <rPh sb="34" eb="37">
      <t>チョウキカ</t>
    </rPh>
    <phoneticPr fontId="3"/>
  </si>
  <si>
    <t>レプリカ増設によるランニングコストの倍増、および切替時の検索断。</t>
    <phoneticPr fontId="3"/>
  </si>
  <si>
    <t>既存データのソート順序定義の不備による、想定外の再修正工数。</t>
    <phoneticPr fontId="3"/>
  </si>
  <si>
    <t>ログ出力によるパフォーマンス劣化、および機密情報の混入。</t>
    <phoneticPr fontId="3"/>
  </si>
  <si>
    <t>表示制限の所在（Azure/アプリ/ブラウザ）の特定難航による調査期間の長期化。</t>
    <rPh sb="26" eb="28">
      <t>ナンコウ</t>
    </rPh>
    <phoneticPr fontId="3"/>
  </si>
  <si>
    <t>ネットワーク経路（プロキシ/WAF）の遮断による、インフラ側の調整発生。</t>
    <phoneticPr fontId="3"/>
  </si>
  <si>
    <t>ブラウザ・端末間の表示互換性確認の繰り返しによる工数増。</t>
    <phoneticPr fontId="3"/>
  </si>
  <si>
    <t>モデル切替時の異常終了リスク・不適切なモデル選択による精度低下。</t>
    <phoneticPr fontId="3"/>
  </si>
  <si>
    <t>既存大量データへのソートキー一括付与時のデータ不整合。</t>
    <phoneticPr fontId="3"/>
  </si>
  <si>
    <t>大量抽出タイムアウト発生、マルチバイト文字による文字化けなどの不具合。</t>
    <rPh sb="31" eb="34">
      <t>フグアイ</t>
    </rPh>
    <phoneticPr fontId="3"/>
  </si>
  <si>
    <t>維持②</t>
    <phoneticPr fontId="3"/>
  </si>
  <si>
    <t>：3.4 人月（＋共通管理 0.6≒ 4.0）</t>
    <phoneticPr fontId="3"/>
  </si>
  <si>
    <t>改良①</t>
    <phoneticPr fontId="3"/>
  </si>
  <si>
    <t>：7.5 人月</t>
    <phoneticPr fontId="3"/>
  </si>
  <si>
    <t>：8.5 人月</t>
    <phoneticPr fontId="3"/>
  </si>
  <si>
    <t>現在ログデータを送信している仕組みであるData Collector APIが2026年 9月14日に廃止されることに対する対応</t>
    <phoneticPr fontId="3"/>
  </si>
  <si>
    <t>　　　</t>
    <phoneticPr fontId="3"/>
  </si>
  <si>
    <t xml:space="preserve">   </t>
    <phoneticPr fontId="3"/>
  </si>
  <si>
    <r>
      <rPr>
        <b/>
        <sz val="10"/>
        <rFont val="Meiryo UI"/>
        <family val="3"/>
        <charset val="128"/>
      </rPr>
      <t>Logs Ingestion API への移行</t>
    </r>
    <r>
      <rPr>
        <sz val="10"/>
        <rFont val="Meiryo UI"/>
        <family val="3"/>
        <charset val="128"/>
      </rPr>
      <t xml:space="preserve">
</t>
    </r>
    <r>
      <rPr>
        <b/>
        <sz val="10"/>
        <rFont val="Meiryo UI"/>
        <family val="3"/>
        <charset val="128"/>
      </rPr>
      <t>1. 現状分析と資産の洗い出し</t>
    </r>
    <r>
      <rPr>
        <sz val="10"/>
        <rFont val="Meiryo UI"/>
        <family val="3"/>
        <charset val="128"/>
      </rPr>
      <t xml:space="preserve">
　　既存のData Collector API を使用箇所特定
　　　・ ソースコードの特定
　　　　　HTTP Data Collector API を呼び出しているアプリ確認
　　　・ 送信先ワークスペースの確認
　　　　　ログ送信先のLog Analytics ワークスペース確認
　　　・ データ構造の把握
　　　　　現在送信している JSON データのスキーマ（フィールド名、データ型）確認
</t>
    </r>
    <r>
      <rPr>
        <b/>
        <sz val="10"/>
        <rFont val="Meiryo UI"/>
        <family val="3"/>
        <charset val="128"/>
      </rPr>
      <t>2. 新規インフラのリソース作成</t>
    </r>
    <r>
      <rPr>
        <sz val="10"/>
        <rFont val="Meiryo UI"/>
        <family val="3"/>
        <charset val="128"/>
      </rPr>
      <t xml:space="preserve">
　　Logs Ingestion API を利用するために必要な Azure リソースを構成する。
　　　・ データ収集エンドポイントの作成
　　　　　ログを受信する固有のエンドポイント作成
　　　・ カスタムテーブルの作成
          必要に応じて、既存から、新変換機能に対応したテーブル形式移行検討
　　　・ データ収集ルール (DCR) の定義
          送信されたデータをどのテーブルに格納/変換の定義
</t>
    </r>
    <r>
      <rPr>
        <b/>
        <sz val="10"/>
        <rFont val="Meiryo UI"/>
        <family val="3"/>
        <charset val="128"/>
      </rPr>
      <t>3. 認証・認可プロトコルの更新</t>
    </r>
    <r>
      <rPr>
        <sz val="10"/>
        <rFont val="Meiryo UI"/>
        <family val="3"/>
        <charset val="128"/>
      </rPr>
      <t xml:space="preserve">
　　Shared Key認証から、Microsoft Entra ID認証へ移行
　　　・ アプリ登録
          ログ送信を行うアプリケーションを Microsoft Entra ID に登録する。
    　・ 権限付与
          登録アプリに対し、DCR に対する「Metrics Publisher」ロール割り当て
</t>
    </r>
    <r>
      <rPr>
        <b/>
        <sz val="10"/>
        <rFont val="Meiryo UI"/>
        <family val="3"/>
        <charset val="128"/>
      </rPr>
      <t>4. 送信ロジックの改修</t>
    </r>
    <r>
      <rPr>
        <sz val="10"/>
        <rFont val="Meiryo UI"/>
        <family val="3"/>
        <charset val="128"/>
      </rPr>
      <t xml:space="preserve">
　　　API 仕様の変更に基づき、クライアント側のコードを修正する。
　　　・ エンドポイント URL の変更
           DCE で生成された URL へ変更する。
      ・ ヘッダーと認証フローの修正
           共有キーによる署名作成処理を廃止し、OAuth 2.0取得処理実装
　　　・　ペイロードの調整
　　　　　DCR で定義した入力ストリームの形式にJSON 構造調整
</t>
    </r>
    <r>
      <rPr>
        <b/>
        <sz val="10"/>
        <rFont val="Meiryo UI"/>
        <family val="3"/>
        <charset val="128"/>
      </rPr>
      <t>5. テストおよび並行運用</t>
    </r>
    <r>
      <rPr>
        <sz val="10"/>
        <rFont val="Meiryo UI"/>
        <family val="3"/>
        <charset val="128"/>
      </rPr>
      <t xml:space="preserve">
　　　・ 検証環境でのテスト
            新API を通じてログが正しく Log Analyticsに到達/クエリ確認
　　　・　並行送信
　　　　　　移行期間中は新旧へデータ送信し欠落/差異の有無確認
</t>
    </r>
    <r>
      <rPr>
        <b/>
        <sz val="10"/>
        <rFont val="Meiryo UI"/>
        <family val="3"/>
        <charset val="128"/>
      </rPr>
      <t>6. 切り替えと旧リソースの削除</t>
    </r>
    <r>
      <rPr>
        <sz val="10"/>
        <rFont val="Meiryo UI"/>
        <family val="3"/>
        <charset val="128"/>
      </rPr>
      <t xml:space="preserve">
　　　・  本番切り替え
　　　　    すべてのソースを Logs Ingestion API へ向ける。
      ・  クリーンアップ
            Data Collector API へのリクエストがゼロになったことを確認
            古い共有キー・ドキュメント更新
</t>
    </r>
    <rPh sb="127" eb="129">
      <t>カクニン</t>
    </rPh>
    <rPh sb="158" eb="159">
      <t>サキ</t>
    </rPh>
    <rPh sb="181" eb="183">
      <t>カクニン</t>
    </rPh>
    <rPh sb="238" eb="240">
      <t>カクニン</t>
    </rPh>
    <rPh sb="409" eb="411">
      <t>イコウ</t>
    </rPh>
    <rPh sb="411" eb="413">
      <t>ケントウ</t>
    </rPh>
    <rPh sb="467" eb="469">
      <t>ヘンカン</t>
    </rPh>
    <rPh sb="981" eb="983">
      <t>シンキュウ</t>
    </rPh>
    <rPh sb="996" eb="998">
      <t>ウム</t>
    </rPh>
    <phoneticPr fontId="3"/>
  </si>
  <si>
    <t>リスク工数</t>
    <rPh sb="3" eb="5">
      <t>コウスウ</t>
    </rPh>
    <phoneticPr fontId="3"/>
  </si>
  <si>
    <t>人月(1st)</t>
    <phoneticPr fontId="3"/>
  </si>
  <si>
    <t>人月(2nd+リスク工数)</t>
    <rPh sb="0" eb="2">
      <t>ニンゲツ</t>
    </rPh>
    <rPh sb="10" eb="12">
      <t>コウスウ</t>
    </rPh>
    <phoneticPr fontId="3"/>
  </si>
  <si>
    <t>1st+優先度(高)のみリスク工数</t>
    <rPh sb="4" eb="7">
      <t>ユウセンド</t>
    </rPh>
    <rPh sb="8" eb="9">
      <t>コウ</t>
    </rPh>
    <rPh sb="15" eb="17">
      <t>コウスウ</t>
    </rPh>
    <phoneticPr fontId="3"/>
  </si>
  <si>
    <t>ー</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</si>
</sst>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_ "/>
  </numFmts>
  <fonts count="19">
    <font>
      <sz val="11"/>
      <color theme="1"/>
      <name val="Yu Gothic"/>
      <family val="2"/>
      <scheme val="minor"/>
    </font>
    <font>
      <b/>
      <sz val="11"/>
      <color rgb="FFFFFFFF"/>
      <name val="Meiryo UI"/>
      <family val="3"/>
      <charset val="128"/>
    </font>
    <font>
      <sz val="11"/>
      <color rgb="FF000000"/>
      <name val="Meiryo UI"/>
      <family val="3"/>
      <charset val="128"/>
    </font>
    <font>
      <sz val="6"/>
      <name val="Yu Gothic"/>
      <family val="3"/>
      <charset val="128"/>
      <scheme val="minor"/>
    </font>
    <font>
      <sz val="11"/>
      <name val="Meiryo UI"/>
      <family val="3"/>
      <charset val="128"/>
    </font>
    <font>
      <sz val="11"/>
      <color theme="1"/>
      <name val="Meiryo UI"/>
      <family val="3"/>
      <charset val="128"/>
    </font>
    <font>
      <i/>
      <sz val="11"/>
      <color theme="1"/>
      <name val="Meiryo UI"/>
      <family val="3"/>
      <charset val="128"/>
    </font>
    <font>
      <b/>
      <sz val="11"/>
      <color theme="0"/>
      <name val="Meiryo UI"/>
      <family val="3"/>
      <charset val="128"/>
    </font>
    <font>
      <sz val="11"/>
      <color rgb="FFFF0000"/>
      <name val="Meiryo UI"/>
      <family val="3"/>
      <charset val="128"/>
    </font>
    <font>
      <sz val="11"/>
      <color rgb="FFFF0000"/>
      <name val="Yu Gothic"/>
      <family val="2"/>
      <scheme val="minor"/>
    </font>
    <font>
      <sz val="10"/>
      <color theme="1"/>
      <name val="Meiryo UI"/>
      <family val="3"/>
      <charset val="128"/>
    </font>
    <font>
      <sz val="10"/>
      <color theme="1" tint="0.249977111117893"/>
      <name val="Meiryo UI"/>
      <family val="3"/>
      <charset val="128"/>
    </font>
    <font>
      <sz val="10"/>
      <color rgb="FFFF0000"/>
      <name val="Meiryo UI"/>
      <family val="3"/>
      <charset val="128"/>
    </font>
    <font>
      <sz val="10"/>
      <color theme="4" tint="-0.249977111117893"/>
      <name val="Meiryo UI"/>
      <family val="3"/>
      <charset val="128"/>
    </font>
    <font>
      <sz val="10"/>
      <color theme="4" tint="-0.499984740745262"/>
      <name val="Meiryo UI"/>
      <family val="3"/>
      <charset val="128"/>
    </font>
    <font>
      <sz val="10"/>
      <color theme="9" tint="-0.249977111117893"/>
      <name val="Meiryo UI"/>
      <family val="3"/>
      <charset val="128"/>
    </font>
    <font>
      <sz val="10"/>
      <name val="Meiryo UI"/>
      <family val="3"/>
      <charset val="128"/>
    </font>
    <font>
      <b/>
      <sz val="10"/>
      <name val="Meiryo UI"/>
      <family val="3"/>
      <charset val="128"/>
    </font>
    <font>
      <sz val="11"/>
      <name val="Yu Gothic"/>
      <family val="2"/>
      <scheme val="minor"/>
    </font>
  </fonts>
  <fills count="7">
    <fill>
      <patternFill patternType="none"/>
    </fill>
    <fill>
      <patternFill patternType="gray125"/>
    </fill>
    <fill>
      <patternFill patternType="solid">
        <fgColor rgb="FF4F81BD"/>
        <bgColor indexed="64"/>
      </patternFill>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bgColor theme="4"/>
      </patternFill>
    </fill>
  </fills>
  <borders count="7">
    <border>
      <left/>
      <right/>
      <top/>
      <bottom/>
      <diagonal/>
    </border>
    <border>
      <left style="medium">
        <color rgb="FFFFFFFF"/>
      </left>
      <right style="medium">
        <color rgb="FFFFFFFF"/>
      </right>
      <top style="medium">
        <color rgb="FFFFFFFF"/>
      </top>
      <bottom/>
      <diagonal/>
    </border>
    <border>
      <left style="thin">
        <color indexed="64"/>
      </left>
      <right style="thin">
        <color indexed="64"/>
      </right>
      <top style="thin">
        <color indexed="64"/>
      </top>
      <bottom style="thin">
        <color indexed="64"/>
      </bottom>
      <diagonal/>
    </border>
    <border>
      <left style="medium">
        <color rgb="FFFFFFFF"/>
      </left>
      <right/>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bottom/>
      <diagonal/>
    </border>
  </borders>
  <cellStyleXfs count="1">
    <xf numFmtId="0" fontId="0" fillId="0" borderId="0"/>
  </cellStyleXfs>
  <cellXfs count="48">
    <xf numFmtId="0" fontId="0" fillId="0" borderId="0" xfId="0"/>
    <xf numFmtId="0" fontId="2" fillId="3" borderId="2" xfId="0" applyFont="1" applyFill="1" applyBorder="1" applyAlignment="1">
      <alignment horizontal="left" vertical="center" wrapText="1" readingOrder="1"/>
    </xf>
    <xf numFmtId="0" fontId="4" fillId="3" borderId="2" xfId="0" applyFont="1" applyFill="1" applyBorder="1" applyAlignment="1">
      <alignment vertical="center" wrapText="1"/>
    </xf>
    <xf numFmtId="0" fontId="4" fillId="0" borderId="2" xfId="0" applyFont="1" applyBorder="1" applyAlignment="1">
      <alignment horizontal="left" vertical="center" wrapText="1" readingOrder="1"/>
    </xf>
    <xf numFmtId="0" fontId="4" fillId="0" borderId="2" xfId="0" applyFont="1" applyBorder="1" applyAlignment="1">
      <alignment vertical="center" wrapText="1"/>
    </xf>
    <xf numFmtId="0" fontId="2" fillId="4" borderId="2" xfId="0" applyFont="1" applyFill="1" applyBorder="1" applyAlignment="1">
      <alignment horizontal="left" vertical="center" wrapText="1" readingOrder="1"/>
    </xf>
    <xf numFmtId="0" fontId="5" fillId="4" borderId="2" xfId="0" applyFont="1" applyFill="1" applyBorder="1" applyAlignment="1">
      <alignment vertical="center"/>
    </xf>
    <xf numFmtId="0" fontId="4" fillId="4" borderId="2" xfId="0" applyFont="1" applyFill="1" applyBorder="1" applyAlignment="1">
      <alignment vertical="center"/>
    </xf>
    <xf numFmtId="0" fontId="2" fillId="5" borderId="2" xfId="0" applyFont="1" applyFill="1" applyBorder="1" applyAlignment="1">
      <alignment horizontal="left" vertical="center" wrapText="1" readingOrder="1"/>
    </xf>
    <xf numFmtId="0" fontId="4" fillId="5" borderId="2" xfId="0" applyFont="1" applyFill="1" applyBorder="1" applyAlignment="1">
      <alignment horizontal="left" vertical="center" wrapText="1" readingOrder="1"/>
    </xf>
    <xf numFmtId="0" fontId="4" fillId="5" borderId="2" xfId="0" applyFont="1" applyFill="1" applyBorder="1" applyAlignment="1">
      <alignment vertical="top" wrapText="1"/>
    </xf>
    <xf numFmtId="0" fontId="5" fillId="5" borderId="2" xfId="0" applyFont="1" applyFill="1" applyBorder="1" applyAlignment="1">
      <alignment vertical="center"/>
    </xf>
    <xf numFmtId="0" fontId="4" fillId="5" borderId="2" xfId="0" applyFont="1" applyFill="1" applyBorder="1" applyAlignment="1">
      <alignment vertical="center" wrapText="1"/>
    </xf>
    <xf numFmtId="0" fontId="5" fillId="0" borderId="0" xfId="0" applyFont="1"/>
    <xf numFmtId="0" fontId="6" fillId="0" borderId="0" xfId="0" applyFont="1"/>
    <xf numFmtId="0" fontId="2" fillId="3" borderId="2" xfId="0" applyFont="1" applyFill="1" applyBorder="1" applyAlignment="1">
      <alignment horizontal="left" vertical="top" wrapText="1" readingOrder="1"/>
    </xf>
    <xf numFmtId="0" fontId="2" fillId="4" borderId="2" xfId="0" applyFont="1" applyFill="1" applyBorder="1" applyAlignment="1">
      <alignment horizontal="left" vertical="top" wrapText="1" readingOrder="1"/>
    </xf>
    <xf numFmtId="0" fontId="4" fillId="0" borderId="2" xfId="0" applyFont="1" applyBorder="1" applyAlignment="1">
      <alignment horizontal="left" vertical="top" wrapText="1" readingOrder="1"/>
    </xf>
    <xf numFmtId="0" fontId="0" fillId="0" borderId="0" xfId="0" applyAlignment="1">
      <alignment horizontal="left" vertical="top"/>
    </xf>
    <xf numFmtId="0" fontId="4" fillId="3" borderId="2" xfId="0" applyFont="1" applyFill="1" applyBorder="1" applyAlignment="1">
      <alignment horizontal="left" vertical="top" wrapText="1"/>
    </xf>
    <xf numFmtId="0" fontId="5" fillId="4" borderId="2" xfId="0" applyFont="1" applyFill="1" applyBorder="1" applyAlignment="1">
      <alignment horizontal="left" vertical="top"/>
    </xf>
    <xf numFmtId="0" fontId="4" fillId="4" borderId="2" xfId="0" applyFont="1" applyFill="1" applyBorder="1" applyAlignment="1">
      <alignment horizontal="left" vertical="top"/>
    </xf>
    <xf numFmtId="0" fontId="4" fillId="0" borderId="2" xfId="0" applyFont="1" applyBorder="1" applyAlignment="1">
      <alignment horizontal="left" vertical="top" wrapText="1"/>
    </xf>
    <xf numFmtId="0" fontId="7" fillId="6" borderId="4" xfId="0" applyFont="1" applyFill="1" applyBorder="1" applyAlignment="1">
      <alignment horizontal="left" vertical="top"/>
    </xf>
    <xf numFmtId="0" fontId="7" fillId="6" borderId="5" xfId="0" applyFont="1" applyFill="1" applyBorder="1" applyAlignment="1">
      <alignment horizontal="left" vertical="top"/>
    </xf>
    <xf numFmtId="176" fontId="0" fillId="0" borderId="2" xfId="0" applyNumberFormat="1" applyBorder="1" applyAlignment="1">
      <alignment horizontal="left" vertical="top"/>
    </xf>
    <xf numFmtId="0" fontId="0" fillId="0" borderId="2" xfId="0" applyBorder="1" applyAlignment="1">
      <alignment horizontal="left" vertical="top"/>
    </xf>
    <xf numFmtId="0" fontId="2" fillId="5" borderId="2" xfId="0" applyFont="1" applyFill="1" applyBorder="1" applyAlignment="1">
      <alignment horizontal="left" vertical="top" wrapText="1" readingOrder="1"/>
    </xf>
    <xf numFmtId="0" fontId="9" fillId="0" borderId="2" xfId="0" applyFont="1" applyBorder="1" applyAlignment="1">
      <alignment horizontal="left" vertical="top"/>
    </xf>
    <xf numFmtId="0" fontId="8" fillId="3" borderId="2" xfId="0" applyFont="1" applyFill="1" applyBorder="1" applyAlignment="1">
      <alignment horizontal="left" vertical="top" wrapText="1" readingOrder="1"/>
    </xf>
    <xf numFmtId="0" fontId="10" fillId="0" borderId="0" xfId="0" applyFont="1"/>
    <xf numFmtId="0" fontId="11" fillId="0" borderId="0" xfId="0" applyFont="1"/>
    <xf numFmtId="0" fontId="12" fillId="0" borderId="0" xfId="0"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11" fillId="0" borderId="0" xfId="0" applyFont="1" applyAlignment="1">
      <alignment horizontal="center"/>
    </xf>
    <xf numFmtId="0" fontId="13" fillId="0" borderId="0" xfId="0" applyFont="1" applyAlignment="1">
      <alignment horizontal="center"/>
    </xf>
    <xf numFmtId="0" fontId="0" fillId="0" borderId="0" xfId="0" applyAlignment="1">
      <alignment vertical="center"/>
    </xf>
    <xf numFmtId="0" fontId="1" fillId="2" borderId="1" xfId="0" applyFont="1" applyFill="1" applyBorder="1" applyAlignment="1">
      <alignment vertical="center" wrapText="1"/>
    </xf>
    <xf numFmtId="0" fontId="1" fillId="2" borderId="3" xfId="0" applyFont="1" applyFill="1" applyBorder="1" applyAlignment="1">
      <alignment vertical="center" wrapText="1"/>
    </xf>
    <xf numFmtId="0" fontId="2" fillId="3" borderId="2" xfId="0" applyFont="1" applyFill="1" applyBorder="1" applyAlignment="1">
      <alignment vertical="center" wrapText="1"/>
    </xf>
    <xf numFmtId="0" fontId="2" fillId="4" borderId="2" xfId="0" applyFont="1" applyFill="1" applyBorder="1" applyAlignment="1">
      <alignment vertical="center" wrapText="1"/>
    </xf>
    <xf numFmtId="0" fontId="2" fillId="3" borderId="6" xfId="0" applyFont="1" applyFill="1" applyBorder="1" applyAlignment="1">
      <alignment vertical="center" wrapText="1"/>
    </xf>
    <xf numFmtId="176" fontId="0" fillId="0" borderId="2" xfId="0" applyNumberFormat="1" applyBorder="1" applyAlignment="1">
      <alignment vertical="center"/>
    </xf>
    <xf numFmtId="0" fontId="16" fillId="3" borderId="2" xfId="0" applyFont="1" applyFill="1" applyBorder="1" applyAlignment="1">
      <alignment vertical="top" wrapText="1"/>
    </xf>
    <xf numFmtId="176" fontId="18" fillId="0" borderId="2" xfId="0" applyNumberFormat="1" applyFont="1" applyBorder="1" applyAlignment="1">
      <alignment vertical="center"/>
    </xf>
    <xf numFmtId="0" fontId="8" fillId="0" borderId="2" xfId="0" applyFont="1" applyBorder="1" applyAlignment="1">
      <alignment horizontal="left" vertical="top" wrapText="1" readingOrder="1"/>
    </xf>
    <xf numFmtId="176" fontId="9" fillId="0" borderId="2" xfId="0" applyNumberFormat="1" applyFont="1" applyBorder="1" applyAlignment="1">
      <alignment horizontal="left" vertical="top"/>
    </xf>
  </cellXfs>
  <cellStyles count="1">
    <cellStyle name="標準" xfId="0" builtinId="0"/>
  </cellStyles>
  <dxfs count="10">
    <dxf>
      <numFmt numFmtId="0" formatCode="General"/>
    </dxf>
    <dxf>
      <font>
        <b val="0"/>
        <i val="0"/>
        <strike val="0"/>
        <condense val="0"/>
        <extend val="0"/>
        <outline val="0"/>
        <shadow val="0"/>
        <u val="none"/>
        <vertAlign val="baseline"/>
        <sz val="10"/>
        <color theme="1" tint="0.249977111117893"/>
        <name val="Meiryo UI"/>
        <scheme val="none"/>
      </font>
    </dxf>
    <dxf>
      <font>
        <b val="0"/>
        <i val="0"/>
        <strike val="0"/>
        <condense val="0"/>
        <extend val="0"/>
        <outline val="0"/>
        <shadow val="0"/>
        <u val="none"/>
        <vertAlign val="baseline"/>
        <sz val="10"/>
        <color theme="1" tint="0.249977111117893"/>
        <name val="Meiryo UI"/>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tint="0.249977111117893"/>
        <name val="Meiryo UI"/>
        <scheme val="none"/>
      </font>
    </dxf>
    <dxf>
      <font>
        <b val="0"/>
        <i val="0"/>
        <strike val="0"/>
        <condense val="0"/>
        <extend val="0"/>
        <outline val="0"/>
        <shadow val="0"/>
        <u val="none"/>
        <vertAlign val="baseline"/>
        <sz val="10"/>
        <color theme="1" tint="0.249977111117893"/>
        <name val="Meiryo UI"/>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tint="0.249977111117893"/>
        <name val="Meiryo UI"/>
        <scheme val="none"/>
      </font>
    </dxf>
    <dxf>
      <font>
        <b val="0"/>
        <i val="0"/>
        <strike val="0"/>
        <condense val="0"/>
        <extend val="0"/>
        <outline val="0"/>
        <shadow val="0"/>
        <u val="none"/>
        <vertAlign val="baseline"/>
        <sz val="10"/>
        <color theme="1" tint="0.249977111117893"/>
        <name val="Meiryo UI"/>
        <scheme val="none"/>
      </font>
    </dxf>
    <dxf>
      <font>
        <b val="0"/>
        <i val="0"/>
        <strike val="0"/>
        <condense val="0"/>
        <extend val="0"/>
        <outline val="0"/>
        <shadow val="0"/>
        <u val="none"/>
        <vertAlign val="baseline"/>
        <sz val="10"/>
        <color theme="1" tint="0.249977111117893"/>
        <name val="Meiryo UI"/>
        <scheme val="none"/>
      </font>
    </dxf>
    <dxf>
      <font>
        <b val="0"/>
        <i val="0"/>
        <strike val="0"/>
        <condense val="0"/>
        <extend val="0"/>
        <outline val="0"/>
        <shadow val="0"/>
        <u val="none"/>
        <vertAlign val="baseline"/>
        <sz val="10"/>
        <color theme="1" tint="0.249977111117893"/>
        <name val="Meiryo UI"/>
        <scheme val="none"/>
      </font>
    </dxf>
    <dxf>
      <font>
        <b val="0"/>
        <i val="0"/>
        <strike val="0"/>
        <condense val="0"/>
        <extend val="0"/>
        <outline val="0"/>
        <shadow val="0"/>
        <u val="none"/>
        <vertAlign val="baseline"/>
        <sz val="10"/>
        <color theme="1"/>
        <name val="Meiryo U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306295</xdr:colOff>
      <xdr:row>0</xdr:row>
      <xdr:rowOff>164352</xdr:rowOff>
    </xdr:from>
    <xdr:to>
      <xdr:col>4</xdr:col>
      <xdr:colOff>2861237</xdr:colOff>
      <xdr:row>8</xdr:row>
      <xdr:rowOff>151470</xdr:rowOff>
    </xdr:to>
    <xdr:pic>
      <xdr:nvPicPr>
        <xdr:cNvPr id="2" name="図 1">
          <a:extLst>
            <a:ext uri="{FF2B5EF4-FFF2-40B4-BE49-F238E27FC236}">
              <a16:creationId xmlns:a16="http://schemas.microsoft.com/office/drawing/2014/main" id="{481A7031-7FED-0075-BEA7-CFC753CD76CF}"/>
            </a:ext>
          </a:extLst>
        </xdr:cNvPr>
        <xdr:cNvPicPr>
          <a:picLocks noChangeAspect="1"/>
        </xdr:cNvPicPr>
      </xdr:nvPicPr>
      <xdr:blipFill>
        <a:blip xmlns:r="http://schemas.openxmlformats.org/officeDocument/2006/relationships" r:embed="rId1"/>
        <a:stretch>
          <a:fillRect/>
        </a:stretch>
      </xdr:blipFill>
      <xdr:spPr>
        <a:xfrm>
          <a:off x="306295" y="164352"/>
          <a:ext cx="9913471" cy="18398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9149</xdr:colOff>
      <xdr:row>0</xdr:row>
      <xdr:rowOff>123825</xdr:rowOff>
    </xdr:from>
    <xdr:to>
      <xdr:col>9</xdr:col>
      <xdr:colOff>235322</xdr:colOff>
      <xdr:row>26</xdr:row>
      <xdr:rowOff>123825</xdr:rowOff>
    </xdr:to>
    <xdr:sp macro="" textlink="">
      <xdr:nvSpPr>
        <xdr:cNvPr id="3" name="テキスト ボックス 2">
          <a:extLst>
            <a:ext uri="{FF2B5EF4-FFF2-40B4-BE49-F238E27FC236}">
              <a16:creationId xmlns:a16="http://schemas.microsoft.com/office/drawing/2014/main" id="{31DDBAA0-5DAF-477C-9B43-C885E8EF116B}"/>
            </a:ext>
          </a:extLst>
        </xdr:cNvPr>
        <xdr:cNvSpPr txBox="1"/>
      </xdr:nvSpPr>
      <xdr:spPr>
        <a:xfrm>
          <a:off x="345325" y="123825"/>
          <a:ext cx="11342409" cy="5244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000" b="1">
              <a:latin typeface="Meiryo UI" panose="020B0604030504040204" pitchFamily="50" charset="-128"/>
              <a:ea typeface="Meiryo UI" panose="020B0604030504040204" pitchFamily="50" charset="-128"/>
            </a:rPr>
            <a:t>1. </a:t>
          </a:r>
          <a:r>
            <a:rPr lang="ja-JP" altLang="en-US" sz="1000" b="1">
              <a:latin typeface="Meiryo UI" panose="020B0604030504040204" pitchFamily="50" charset="-128"/>
              <a:ea typeface="Meiryo UI" panose="020B0604030504040204" pitchFamily="50" charset="-128"/>
            </a:rPr>
            <a:t>概算見積の定義（リード文）　</a:t>
          </a:r>
          <a:r>
            <a:rPr lang="en-US" altLang="ja-JP" sz="1000" b="1">
              <a:latin typeface="Meiryo UI" panose="020B0604030504040204" pitchFamily="50" charset="-128"/>
              <a:ea typeface="Meiryo UI" panose="020B0604030504040204" pitchFamily="50" charset="-128"/>
            </a:rPr>
            <a:t>※</a:t>
          </a:r>
          <a:r>
            <a:rPr lang="en-US" altLang="ja-JP" sz="1000" b="1" baseline="-25000">
              <a:latin typeface="Meiryo UI" panose="020B0604030504040204" pitchFamily="50" charset="-128"/>
              <a:ea typeface="Meiryo UI" panose="020B0604030504040204" pitchFamily="50" charset="-128"/>
            </a:rPr>
            <a:t>2026/03/26</a:t>
          </a:r>
          <a:r>
            <a:rPr lang="ja-JP" altLang="en-US" sz="1000" b="1" baseline="-25000">
              <a:latin typeface="Meiryo UI" panose="020B0604030504040204" pitchFamily="50" charset="-128"/>
              <a:ea typeface="Meiryo UI" panose="020B0604030504040204" pitchFamily="50" charset="-128"/>
            </a:rPr>
            <a:t>時点 </a:t>
          </a:r>
          <a:r>
            <a:rPr lang="en-US" altLang="ja-JP" sz="1000" b="1" baseline="-25000">
              <a:latin typeface="Meiryo UI" panose="020B0604030504040204" pitchFamily="50" charset="-128"/>
              <a:ea typeface="Meiryo UI" panose="020B0604030504040204" pitchFamily="50" charset="-128"/>
            </a:rPr>
            <a:t>Sheet1</a:t>
          </a:r>
          <a:r>
            <a:rPr lang="ja-JP" altLang="en-US" sz="1000" b="1" baseline="-25000">
              <a:latin typeface="Meiryo UI" panose="020B0604030504040204" pitchFamily="50" charset="-128"/>
              <a:ea typeface="Meiryo UI" panose="020B0604030504040204" pitchFamily="50" charset="-128"/>
            </a:rPr>
            <a:t>の内容のみ</a:t>
          </a:r>
          <a:endParaRPr lang="ja-JP" altLang="en-US" sz="1000" b="1">
            <a:latin typeface="Meiryo UI" panose="020B0604030504040204" pitchFamily="50" charset="-128"/>
            <a:ea typeface="Meiryo UI" panose="020B0604030504040204" pitchFamily="50" charset="-128"/>
          </a:endParaRPr>
        </a:p>
        <a:p>
          <a:r>
            <a:rPr lang="ja-JP" altLang="en-US" sz="1000">
              <a:latin typeface="Meiryo UI" panose="020B0604030504040204" pitchFamily="50" charset="-128"/>
              <a:ea typeface="Meiryo UI" panose="020B0604030504040204" pitchFamily="50" charset="-128"/>
            </a:rPr>
            <a:t>　  本資料の工数算出は、現時点</a:t>
          </a:r>
          <a:r>
            <a:rPr lang="en-US" altLang="ja-JP" sz="1000">
              <a:latin typeface="Meiryo UI" panose="020B0604030504040204" pitchFamily="50" charset="-128"/>
              <a:ea typeface="Meiryo UI" panose="020B0604030504040204" pitchFamily="50" charset="-128"/>
            </a:rPr>
            <a:t>※</a:t>
          </a:r>
          <a:r>
            <a:rPr lang="ja-JP" altLang="en-US" sz="1000">
              <a:latin typeface="Meiryo UI" panose="020B0604030504040204" pitchFamily="50" charset="-128"/>
              <a:ea typeface="Meiryo UI" panose="020B0604030504040204" pitchFamily="50" charset="-128"/>
            </a:rPr>
            <a:t>で判明している情報に基づく</a:t>
          </a:r>
          <a:r>
            <a:rPr lang="ja-JP" altLang="en-US" sz="1000" b="1">
              <a:latin typeface="Meiryo UI" panose="020B0604030504040204" pitchFamily="50" charset="-128"/>
              <a:ea typeface="Meiryo UI" panose="020B0604030504040204" pitchFamily="50" charset="-128"/>
            </a:rPr>
            <a:t>「概算」</a:t>
          </a:r>
          <a:r>
            <a:rPr lang="ja-JP" altLang="en-US" sz="1000" b="0">
              <a:latin typeface="Meiryo UI" panose="020B0604030504040204" pitchFamily="50" charset="-128"/>
              <a:ea typeface="Meiryo UI" panose="020B0604030504040204" pitchFamily="50" charset="-128"/>
            </a:rPr>
            <a:t>である</a:t>
          </a:r>
          <a:endParaRPr lang="en-US" altLang="ja-JP" sz="1000" b="1" baseline="0">
            <a:latin typeface="Meiryo UI" panose="020B0604030504040204" pitchFamily="50" charset="-128"/>
            <a:ea typeface="Meiryo UI" panose="020B0604030504040204" pitchFamily="50" charset="-128"/>
          </a:endParaRPr>
        </a:p>
        <a:p>
          <a:r>
            <a:rPr lang="ja-JP" altLang="en-US" sz="1000" b="1" baseline="0">
              <a:latin typeface="Meiryo UI" panose="020B0604030504040204" pitchFamily="50" charset="-128"/>
              <a:ea typeface="Meiryo UI" panose="020B0604030504040204" pitchFamily="50" charset="-128"/>
            </a:rPr>
            <a:t>　 </a:t>
          </a:r>
          <a:r>
            <a:rPr lang="ja-JP" altLang="en-US" sz="1000" b="1">
              <a:latin typeface="Meiryo UI" panose="020B0604030504040204" pitchFamily="50" charset="-128"/>
              <a:ea typeface="Meiryo UI" panose="020B0604030504040204" pitchFamily="50" charset="-128"/>
            </a:rPr>
            <a:t> 要件の曖昧性および調査結果による変動を考慮し、本見積は</a:t>
          </a:r>
          <a:endParaRPr lang="en-US" altLang="ja-JP" sz="1000" b="1">
            <a:latin typeface="Meiryo UI" panose="020B0604030504040204" pitchFamily="50" charset="-128"/>
            <a:ea typeface="Meiryo UI" panose="020B0604030504040204" pitchFamily="50" charset="-128"/>
          </a:endParaRPr>
        </a:p>
        <a:p>
          <a:r>
            <a:rPr lang="en-US" altLang="ja-JP" sz="1000" b="1">
              <a:latin typeface="Meiryo UI" panose="020B0604030504040204" pitchFamily="50" charset="-128"/>
              <a:ea typeface="Meiryo UI" panose="020B0604030504040204" pitchFamily="50" charset="-128"/>
            </a:rPr>
            <a:t>  </a:t>
          </a:r>
          <a:r>
            <a:rPr lang="en-US" altLang="ja-JP" sz="1000" b="1" baseline="0">
              <a:latin typeface="Meiryo UI" panose="020B0604030504040204" pitchFamily="50" charset="-128"/>
              <a:ea typeface="Meiryo UI" panose="020B0604030504040204" pitchFamily="50" charset="-128"/>
            </a:rPr>
            <a:t>  </a:t>
          </a:r>
          <a:r>
            <a:rPr lang="ja-JP" altLang="en-US" sz="1000">
              <a:latin typeface="Meiryo UI" panose="020B0604030504040204" pitchFamily="50" charset="-128"/>
              <a:ea typeface="Meiryo UI" panose="020B0604030504040204" pitchFamily="50" charset="-128"/>
            </a:rPr>
            <a:t>上下 </a:t>
          </a:r>
          <a:r>
            <a:rPr lang="en-US" altLang="ja-JP" sz="1000">
              <a:latin typeface="Meiryo UI" panose="020B0604030504040204" pitchFamily="50" charset="-128"/>
              <a:ea typeface="Meiryo UI" panose="020B0604030504040204" pitchFamily="50" charset="-128"/>
            </a:rPr>
            <a:t>30%</a:t>
          </a:r>
          <a:r>
            <a:rPr lang="ja-JP" altLang="en-US" sz="1000">
              <a:latin typeface="Meiryo UI" panose="020B0604030504040204" pitchFamily="50" charset="-128"/>
              <a:ea typeface="Meiryo UI" panose="020B0604030504040204" pitchFamily="50" charset="-128"/>
            </a:rPr>
            <a:t>（</a:t>
          </a:r>
          <a:r>
            <a:rPr lang="en-US" altLang="ja-JP" sz="1000">
              <a:latin typeface="Meiryo UI" panose="020B0604030504040204" pitchFamily="50" charset="-128"/>
              <a:ea typeface="Meiryo UI" panose="020B0604030504040204" pitchFamily="50" charset="-128"/>
            </a:rPr>
            <a:t>-30% 〜 +30%</a:t>
          </a:r>
          <a:r>
            <a:rPr lang="ja-JP" altLang="en-US" sz="1000">
              <a:latin typeface="Meiryo UI" panose="020B0604030504040204" pitchFamily="50" charset="-128"/>
              <a:ea typeface="Meiryo UI" panose="020B0604030504040204" pitchFamily="50" charset="-128"/>
            </a:rPr>
            <a:t>）の範囲内での</a:t>
          </a:r>
          <a:r>
            <a:rPr lang="ja-JP" altLang="en-US" sz="1000" b="1">
              <a:latin typeface="Meiryo UI" panose="020B0604030504040204" pitchFamily="50" charset="-128"/>
              <a:ea typeface="Meiryo UI" panose="020B0604030504040204" pitchFamily="50" charset="-128"/>
            </a:rPr>
            <a:t>増減を許容する</a:t>
          </a:r>
          <a:r>
            <a:rPr lang="ja-JP" altLang="en-US" sz="1000">
              <a:latin typeface="Meiryo UI" panose="020B0604030504040204" pitchFamily="50" charset="-128"/>
              <a:ea typeface="Meiryo UI" panose="020B0604030504040204" pitchFamily="50" charset="-128"/>
            </a:rPr>
            <a:t>ものとし詳細設計フェーズにて</a:t>
          </a:r>
          <a:r>
            <a:rPr lang="ja-JP" altLang="en-US" sz="1000" b="1">
              <a:latin typeface="Meiryo UI" panose="020B0604030504040204" pitchFamily="50" charset="-128"/>
              <a:ea typeface="Meiryo UI" panose="020B0604030504040204" pitchFamily="50" charset="-128"/>
            </a:rPr>
            <a:t>仕様が確定した段階</a:t>
          </a:r>
          <a:r>
            <a:rPr lang="ja-JP" altLang="en-US" sz="1000">
              <a:latin typeface="Meiryo UI" panose="020B0604030504040204" pitchFamily="50" charset="-128"/>
              <a:ea typeface="Meiryo UI" panose="020B0604030504040204" pitchFamily="50" charset="-128"/>
            </a:rPr>
            <a:t>で、最終的な</a:t>
          </a:r>
          <a:r>
            <a:rPr lang="ja-JP" altLang="en-US" sz="1000" b="1">
              <a:latin typeface="Meiryo UI" panose="020B0604030504040204" pitchFamily="50" charset="-128"/>
              <a:ea typeface="Meiryo UI" panose="020B0604030504040204" pitchFamily="50" charset="-128"/>
            </a:rPr>
            <a:t>工数合意を行う。</a:t>
          </a:r>
          <a:endParaRPr lang="en-US" altLang="ja-JP" sz="1000" b="1">
            <a:latin typeface="Meiryo UI" panose="020B0604030504040204" pitchFamily="50" charset="-128"/>
            <a:ea typeface="Meiryo UI" panose="020B0604030504040204" pitchFamily="50" charset="-128"/>
          </a:endParaRPr>
        </a:p>
        <a:p>
          <a:endParaRPr lang="en-US" altLang="ja-JP" sz="1000" b="1">
            <a:latin typeface="Meiryo UI" panose="020B0604030504040204" pitchFamily="50" charset="-128"/>
            <a:ea typeface="Meiryo UI" panose="020B0604030504040204" pitchFamily="50" charset="-128"/>
          </a:endParaRPr>
        </a:p>
        <a:p>
          <a:r>
            <a:rPr lang="en-US" altLang="ja-JP" sz="1000" b="1">
              <a:latin typeface="Meiryo UI" panose="020B0604030504040204" pitchFamily="50" charset="-128"/>
              <a:ea typeface="Meiryo UI" panose="020B0604030504040204" pitchFamily="50" charset="-128"/>
            </a:rPr>
            <a:t>2. </a:t>
          </a:r>
          <a:r>
            <a:rPr lang="ja-JP" altLang="en-US" sz="1000" b="1">
              <a:latin typeface="Meiryo UI" panose="020B0604030504040204" pitchFamily="50" charset="-128"/>
              <a:ea typeface="Meiryo UI" panose="020B0604030504040204" pitchFamily="50" charset="-128"/>
            </a:rPr>
            <a:t>前提条件</a:t>
          </a:r>
        </a:p>
        <a:p>
          <a:r>
            <a:rPr lang="ja-JP" altLang="en-US" sz="1000" b="1">
              <a:latin typeface="Meiryo UI" panose="020B0604030504040204" pitchFamily="50" charset="-128"/>
              <a:ea typeface="Meiryo UI" panose="020B0604030504040204" pitchFamily="50" charset="-128"/>
            </a:rPr>
            <a:t>　工程内容　　　　　</a:t>
          </a:r>
          <a:r>
            <a:rPr lang="ja-JP" altLang="en-US" sz="1000">
              <a:latin typeface="Meiryo UI" panose="020B0604030504040204" pitchFamily="50" charset="-128"/>
              <a:ea typeface="Meiryo UI" panose="020B0604030504040204" pitchFamily="50" charset="-128"/>
            </a:rPr>
            <a:t>   ：本工数には、設計（既存成果物の更新）、構築、テスト（単体・結合・総合・運用）、およびリリース作業の全工程を含む。</a:t>
          </a:r>
        </a:p>
        <a:p>
          <a:r>
            <a:rPr lang="ja-JP" altLang="en-US" sz="1000" b="1">
              <a:latin typeface="Meiryo UI" panose="020B0604030504040204" pitchFamily="50" charset="-128"/>
              <a:ea typeface="Meiryo UI" panose="020B0604030504040204" pitchFamily="50" charset="-128"/>
            </a:rPr>
            <a:t>　既存資産        </a:t>
          </a:r>
          <a:r>
            <a:rPr lang="ja-JP" altLang="en-US" sz="1000">
              <a:latin typeface="Meiryo UI" panose="020B0604030504040204" pitchFamily="50" charset="-128"/>
              <a:ea typeface="Meiryo UI" panose="020B0604030504040204" pitchFamily="50" charset="-128"/>
            </a:rPr>
            <a:t>     </a:t>
          </a:r>
          <a:r>
            <a:rPr lang="ja-JP" altLang="ja-JP" sz="1100">
              <a:solidFill>
                <a:schemeClr val="dk1"/>
              </a:solidFill>
              <a:effectLst/>
              <a:latin typeface="+mn-lt"/>
              <a:ea typeface="+mn-ea"/>
              <a:cs typeface="+mn-cs"/>
            </a:rPr>
            <a:t>：</a:t>
          </a:r>
          <a:r>
            <a:rPr lang="ja-JP" altLang="en-US" sz="1000">
              <a:latin typeface="Meiryo UI" panose="020B0604030504040204" pitchFamily="50" charset="-128"/>
              <a:ea typeface="Meiryo UI" panose="020B0604030504040204" pitchFamily="50" charset="-128"/>
            </a:rPr>
            <a:t>既存の</a:t>
          </a:r>
          <a:r>
            <a:rPr lang="en-US" altLang="ja-JP" sz="1000">
              <a:latin typeface="Meiryo UI" panose="020B0604030504040204" pitchFamily="50" charset="-128"/>
              <a:ea typeface="Meiryo UI" panose="020B0604030504040204" pitchFamily="50" charset="-128"/>
            </a:rPr>
            <a:t>Azure RAG</a:t>
          </a:r>
          <a:r>
            <a:rPr lang="ja-JP" altLang="en-US" sz="1000">
              <a:latin typeface="Meiryo UI" panose="020B0604030504040204" pitchFamily="50" charset="-128"/>
              <a:ea typeface="Meiryo UI" panose="020B0604030504040204" pitchFamily="50" charset="-128"/>
            </a:rPr>
            <a:t>環境をベースとした改修であり、基盤の大幅な刷新は対象外とする。</a:t>
          </a:r>
        </a:p>
        <a:p>
          <a:r>
            <a:rPr lang="ja-JP" altLang="en-US" sz="1000" b="1">
              <a:latin typeface="Meiryo UI" panose="020B0604030504040204" pitchFamily="50" charset="-128"/>
              <a:ea typeface="Meiryo UI" panose="020B0604030504040204" pitchFamily="50" charset="-128"/>
            </a:rPr>
            <a:t>　体制とスケジュール</a:t>
          </a:r>
          <a:r>
            <a:rPr lang="ja-JP" altLang="en-US" sz="1000">
              <a:latin typeface="Meiryo UI" panose="020B0604030504040204" pitchFamily="50" charset="-128"/>
              <a:ea typeface="Meiryo UI" panose="020B0604030504040204" pitchFamily="50" charset="-128"/>
            </a:rPr>
            <a:t>   </a:t>
          </a:r>
          <a:r>
            <a:rPr lang="ja-JP" altLang="ja-JP" sz="1100">
              <a:solidFill>
                <a:schemeClr val="dk1"/>
              </a:solidFill>
              <a:effectLst/>
              <a:latin typeface="+mn-lt"/>
              <a:ea typeface="+mn-ea"/>
              <a:cs typeface="+mn-cs"/>
            </a:rPr>
            <a:t>：</a:t>
          </a:r>
          <a:r>
            <a:rPr lang="en-US" altLang="ja-JP" sz="1000">
              <a:latin typeface="Meiryo UI" panose="020B0604030504040204" pitchFamily="50" charset="-128"/>
              <a:ea typeface="Meiryo UI" panose="020B0604030504040204" pitchFamily="50" charset="-128"/>
            </a:rPr>
            <a:t>2</a:t>
          </a:r>
          <a:r>
            <a:rPr lang="ja-JP" altLang="en-US" sz="1000">
              <a:latin typeface="Meiryo UI" panose="020B0604030504040204" pitchFamily="50" charset="-128"/>
              <a:ea typeface="Meiryo UI" panose="020B0604030504040204" pitchFamily="50" charset="-128"/>
            </a:rPr>
            <a:t>名体制（計</a:t>
          </a:r>
          <a:r>
            <a:rPr lang="en-US" altLang="ja-JP" sz="1000">
              <a:latin typeface="Meiryo UI" panose="020B0604030504040204" pitchFamily="50" charset="-128"/>
              <a:ea typeface="Meiryo UI" panose="020B0604030504040204" pitchFamily="50" charset="-128"/>
            </a:rPr>
            <a:t>4.0</a:t>
          </a:r>
          <a:r>
            <a:rPr lang="ja-JP" altLang="en-US" sz="1000">
              <a:latin typeface="Meiryo UI" panose="020B0604030504040204" pitchFamily="50" charset="-128"/>
              <a:ea typeface="Meiryo UI" panose="020B0604030504040204" pitchFamily="50" charset="-128"/>
            </a:rPr>
            <a:t>人月）での実施を前提とし、並行作業によって</a:t>
          </a:r>
          <a:r>
            <a:rPr lang="en-US" altLang="ja-JP" sz="1000">
              <a:latin typeface="Meiryo UI" panose="020B0604030504040204" pitchFamily="50" charset="-128"/>
              <a:ea typeface="Meiryo UI" panose="020B0604030504040204" pitchFamily="50" charset="-128"/>
            </a:rPr>
            <a:t>2</a:t>
          </a:r>
          <a:r>
            <a:rPr lang="ja-JP" altLang="en-US" sz="1000">
              <a:latin typeface="Meiryo UI" panose="020B0604030504040204" pitchFamily="50" charset="-128"/>
              <a:ea typeface="Meiryo UI" panose="020B0604030504040204" pitchFamily="50" charset="-128"/>
            </a:rPr>
            <a:t>ヶ月以内の完遂を目標とする。</a:t>
          </a:r>
        </a:p>
        <a:p>
          <a:r>
            <a:rPr lang="ja-JP" altLang="en-US" sz="1000" b="1">
              <a:latin typeface="Meiryo UI" panose="020B0604030504040204" pitchFamily="50" charset="-128"/>
              <a:ea typeface="Meiryo UI" panose="020B0604030504040204" pitchFamily="50" charset="-128"/>
            </a:rPr>
            <a:t>　承認　　　　　</a:t>
          </a:r>
          <a:r>
            <a:rPr lang="ja-JP" altLang="en-US" sz="1000">
              <a:latin typeface="Meiryo UI" panose="020B0604030504040204" pitchFamily="50" charset="-128"/>
              <a:ea typeface="Meiryo UI" panose="020B0604030504040204" pitchFamily="50" charset="-128"/>
            </a:rPr>
            <a:t> 　　　　 </a:t>
          </a:r>
          <a:r>
            <a:rPr lang="ja-JP" altLang="ja-JP" sz="1100">
              <a:solidFill>
                <a:schemeClr val="dk1"/>
              </a:solidFill>
              <a:effectLst/>
              <a:latin typeface="+mn-lt"/>
              <a:ea typeface="+mn-ea"/>
              <a:cs typeface="+mn-cs"/>
            </a:rPr>
            <a:t>：</a:t>
          </a:r>
          <a:r>
            <a:rPr lang="ja-JP" altLang="en-US" sz="1000">
              <a:latin typeface="Meiryo UI" panose="020B0604030504040204" pitchFamily="50" charset="-128"/>
              <a:ea typeface="Meiryo UI" panose="020B0604030504040204" pitchFamily="50" charset="-128"/>
            </a:rPr>
            <a:t>仕様の決定、および</a:t>
          </a:r>
          <a:r>
            <a:rPr lang="en-US" altLang="ja-JP" sz="1000">
              <a:latin typeface="Meiryo UI" panose="020B0604030504040204" pitchFamily="50" charset="-128"/>
              <a:ea typeface="Meiryo UI" panose="020B0604030504040204" pitchFamily="50" charset="-128"/>
            </a:rPr>
            <a:t>Azure</a:t>
          </a:r>
          <a:r>
            <a:rPr lang="ja-JP" altLang="en-US" sz="1000">
              <a:latin typeface="Meiryo UI" panose="020B0604030504040204" pitchFamily="50" charset="-128"/>
              <a:ea typeface="Meiryo UI" panose="020B0604030504040204" pitchFamily="50" charset="-128"/>
            </a:rPr>
            <a:t>リソース変更に伴う権限付与が、計画されたスケジュール前に</a:t>
          </a:r>
          <a:r>
            <a:rPr lang="ja-JP" altLang="en-US" sz="1000" b="1">
              <a:latin typeface="Meiryo UI" panose="020B0604030504040204" pitchFamily="50" charset="-128"/>
              <a:ea typeface="Meiryo UI" panose="020B0604030504040204" pitchFamily="50" charset="-128"/>
            </a:rPr>
            <a:t>遅滞なく行われることを前提</a:t>
          </a:r>
          <a:r>
            <a:rPr lang="ja-JP" altLang="en-US" sz="1000">
              <a:latin typeface="Meiryo UI" panose="020B0604030504040204" pitchFamily="50" charset="-128"/>
              <a:ea typeface="Meiryo UI" panose="020B0604030504040204" pitchFamily="50" charset="-128"/>
            </a:rPr>
            <a:t>とする。</a:t>
          </a:r>
        </a:p>
        <a:p>
          <a:endParaRPr lang="en-US" altLang="ja-JP" sz="1000" b="1">
            <a:latin typeface="Meiryo UI" panose="020B0604030504040204" pitchFamily="50" charset="-128"/>
            <a:ea typeface="Meiryo UI" panose="020B0604030504040204" pitchFamily="50" charset="-128"/>
          </a:endParaRPr>
        </a:p>
        <a:p>
          <a:r>
            <a:rPr lang="en-US" altLang="ja-JP" sz="1000" b="1">
              <a:latin typeface="Meiryo UI" panose="020B0604030504040204" pitchFamily="50" charset="-128"/>
              <a:ea typeface="Meiryo UI" panose="020B0604030504040204" pitchFamily="50" charset="-128"/>
            </a:rPr>
            <a:t>3. </a:t>
          </a:r>
          <a:r>
            <a:rPr lang="ja-JP" altLang="en-US" sz="1000" b="1">
              <a:latin typeface="Meiryo UI" panose="020B0604030504040204" pitchFamily="50" charset="-128"/>
              <a:ea typeface="Meiryo UI" panose="020B0604030504040204" pitchFamily="50" charset="-128"/>
            </a:rPr>
            <a:t>制限事項</a:t>
          </a:r>
        </a:p>
        <a:p>
          <a:r>
            <a:rPr lang="ja-JP" altLang="en-US" sz="1000" b="1">
              <a:latin typeface="Meiryo UI" panose="020B0604030504040204" pitchFamily="50" charset="-128"/>
              <a:ea typeface="Meiryo UI" panose="020B0604030504040204" pitchFamily="50" charset="-128"/>
            </a:rPr>
            <a:t>　ライブラリの制約 </a:t>
          </a:r>
          <a:r>
            <a:rPr lang="ja-JP" altLang="en-US" sz="1000">
              <a:latin typeface="Meiryo UI" panose="020B0604030504040204" pitchFamily="50" charset="-128"/>
              <a:ea typeface="Meiryo UI" panose="020B0604030504040204" pitchFamily="50" charset="-128"/>
            </a:rPr>
            <a:t>：</a:t>
          </a:r>
          <a:r>
            <a:rPr lang="en-US" altLang="ja-JP" sz="1000">
              <a:latin typeface="Meiryo UI" panose="020B0604030504040204" pitchFamily="50" charset="-128"/>
              <a:ea typeface="Meiryo UI" panose="020B0604030504040204" pitchFamily="50" charset="-128"/>
            </a:rPr>
            <a:t>Azure</a:t>
          </a:r>
          <a:r>
            <a:rPr lang="ja-JP" altLang="en-US" sz="1000">
              <a:latin typeface="Meiryo UI" panose="020B0604030504040204" pitchFamily="50" charset="-128"/>
              <a:ea typeface="Meiryo UI" panose="020B0604030504040204" pitchFamily="50" charset="-128"/>
            </a:rPr>
            <a:t>クラウドのマネージドサービスや、ライブラリ自体の仕様制限に起因する課題</a:t>
          </a:r>
          <a:r>
            <a:rPr lang="en-US" altLang="ja-JP" sz="1000">
              <a:latin typeface="Meiryo UI" panose="020B0604030504040204" pitchFamily="50" charset="-128"/>
              <a:ea typeface="Meiryo UI" panose="020B0604030504040204" pitchFamily="50" charset="-128"/>
            </a:rPr>
            <a:t>/</a:t>
          </a:r>
          <a:r>
            <a:rPr lang="ja-JP" altLang="en-US" sz="1000">
              <a:latin typeface="Meiryo UI" panose="020B0604030504040204" pitchFamily="50" charset="-128"/>
              <a:ea typeface="Meiryo UI" panose="020B0604030504040204" pitchFamily="50" charset="-128"/>
            </a:rPr>
            <a:t>問題については、本工数内での解決は保証外</a:t>
          </a:r>
        </a:p>
        <a:p>
          <a:r>
            <a:rPr lang="ja-JP" altLang="en-US" sz="1000" b="1">
              <a:latin typeface="Meiryo UI" panose="020B0604030504040204" pitchFamily="50" charset="-128"/>
              <a:ea typeface="Meiryo UI" panose="020B0604030504040204" pitchFamily="50" charset="-128"/>
            </a:rPr>
            <a:t>　インフラと範囲</a:t>
          </a:r>
          <a:r>
            <a:rPr lang="ja-JP" altLang="en-US" sz="1000">
              <a:latin typeface="Meiryo UI" panose="020B0604030504040204" pitchFamily="50" charset="-128"/>
              <a:ea typeface="Meiryo UI" panose="020B0604030504040204" pitchFamily="50" charset="-128"/>
            </a:rPr>
            <a:t>    ：リソース増設に伴うクラウド利用料の増分は本工数に含まない。また、ネットワーク経路上の社内プロキシや</a:t>
          </a:r>
          <a:r>
            <a:rPr lang="en-US" altLang="ja-JP" sz="1000">
              <a:latin typeface="Meiryo UI" panose="020B0604030504040204" pitchFamily="50" charset="-128"/>
              <a:ea typeface="Meiryo UI" panose="020B0604030504040204" pitchFamily="50" charset="-128"/>
            </a:rPr>
            <a:t>WAF</a:t>
          </a:r>
          <a:r>
            <a:rPr lang="ja-JP" altLang="en-US" sz="1000">
              <a:latin typeface="Meiryo UI" panose="020B0604030504040204" pitchFamily="50" charset="-128"/>
              <a:ea typeface="Meiryo UI" panose="020B0604030504040204" pitchFamily="50" charset="-128"/>
            </a:rPr>
            <a:t>等、他部署管理となるインフラの設定変更作業は本項目の対象外</a:t>
          </a:r>
        </a:p>
        <a:p>
          <a:r>
            <a:rPr lang="ja-JP" altLang="en-US" sz="1000" b="1">
              <a:latin typeface="Meiryo UI" panose="020B0604030504040204" pitchFamily="50" charset="-128"/>
              <a:ea typeface="Meiryo UI" panose="020B0604030504040204" pitchFamily="50" charset="-128"/>
            </a:rPr>
            <a:t>　データ移行　　　</a:t>
          </a:r>
          <a:r>
            <a:rPr lang="ja-JP" altLang="en-US" sz="1000">
              <a:latin typeface="Meiryo UI" panose="020B0604030504040204" pitchFamily="50" charset="-128"/>
              <a:ea typeface="Meiryo UI" panose="020B0604030504040204" pitchFamily="50" charset="-128"/>
            </a:rPr>
            <a:t>  ：履歴保持（項目</a:t>
          </a:r>
          <a:r>
            <a:rPr lang="en-US" altLang="ja-JP" sz="1000">
              <a:latin typeface="Meiryo UI" panose="020B0604030504040204" pitchFamily="50" charset="-128"/>
              <a:ea typeface="Meiryo UI" panose="020B0604030504040204" pitchFamily="50" charset="-128"/>
            </a:rPr>
            <a:t>1</a:t>
          </a:r>
          <a:r>
            <a:rPr lang="ja-JP" altLang="en-US" sz="1000">
              <a:latin typeface="Meiryo UI" panose="020B0604030504040204" pitchFamily="50" charset="-128"/>
              <a:ea typeface="Meiryo UI" panose="020B0604030504040204" pitchFamily="50" charset="-128"/>
            </a:rPr>
            <a:t>）等において、過去データの整備や大規模な移行が必要となった場合は別途協議</a:t>
          </a:r>
        </a:p>
        <a:p>
          <a:r>
            <a:rPr lang="ja-JP" altLang="en-US" sz="1000" b="1">
              <a:latin typeface="Meiryo UI" panose="020B0604030504040204" pitchFamily="50" charset="-128"/>
              <a:ea typeface="Meiryo UI" panose="020B0604030504040204" pitchFamily="50" charset="-128"/>
            </a:rPr>
            <a:t>　性能</a:t>
          </a:r>
          <a:r>
            <a:rPr lang="ja-JP" altLang="en-US" sz="1000">
              <a:latin typeface="Meiryo UI" panose="020B0604030504040204" pitchFamily="50" charset="-128"/>
              <a:ea typeface="Meiryo UI" panose="020B0604030504040204" pitchFamily="50" charset="-128"/>
            </a:rPr>
            <a:t> 　　　　　　</a:t>
          </a:r>
          <a:r>
            <a:rPr lang="ja-JP" altLang="en-US" sz="1000" baseline="0">
              <a:latin typeface="Meiryo UI" panose="020B0604030504040204" pitchFamily="50" charset="-128"/>
              <a:ea typeface="Meiryo UI" panose="020B0604030504040204" pitchFamily="50" charset="-128"/>
            </a:rPr>
            <a:t>  </a:t>
          </a:r>
          <a:r>
            <a:rPr lang="ja-JP" altLang="en-US" sz="1000">
              <a:latin typeface="Meiryo UI" panose="020B0604030504040204" pitchFamily="50" charset="-128"/>
              <a:ea typeface="Meiryo UI" panose="020B0604030504040204" pitchFamily="50" charset="-128"/>
            </a:rPr>
            <a:t>：ストリーム表示（項目</a:t>
          </a:r>
          <a:r>
            <a:rPr lang="en-US" altLang="ja-JP" sz="1000">
              <a:latin typeface="Meiryo UI" panose="020B0604030504040204" pitchFamily="50" charset="-128"/>
              <a:ea typeface="Meiryo UI" panose="020B0604030504040204" pitchFamily="50" charset="-128"/>
            </a:rPr>
            <a:t>20</a:t>
          </a:r>
          <a:r>
            <a:rPr lang="ja-JP" altLang="en-US" sz="1000">
              <a:latin typeface="Meiryo UI" panose="020B0604030504040204" pitchFamily="50" charset="-128"/>
              <a:ea typeface="Meiryo UI" panose="020B0604030504040204" pitchFamily="50" charset="-128"/>
            </a:rPr>
            <a:t>）や大容量ファイル対応（項目</a:t>
          </a:r>
          <a:r>
            <a:rPr lang="en-US" altLang="ja-JP" sz="1000">
              <a:latin typeface="Meiryo UI" panose="020B0604030504040204" pitchFamily="50" charset="-128"/>
              <a:ea typeface="Meiryo UI" panose="020B0604030504040204" pitchFamily="50" charset="-128"/>
            </a:rPr>
            <a:t>11</a:t>
          </a:r>
          <a:r>
            <a:rPr lang="ja-JP" altLang="en-US" sz="1000">
              <a:latin typeface="Meiryo UI" panose="020B0604030504040204" pitchFamily="50" charset="-128"/>
              <a:ea typeface="Meiryo UI" panose="020B0604030504040204" pitchFamily="50" charset="-128"/>
            </a:rPr>
            <a:t>）において、利用者のネットワーク帯域や端末スペックに起因する遅延・不具合は保証の対象外</a:t>
          </a:r>
          <a:endParaRPr lang="en-US" altLang="ja-JP" sz="1000">
            <a:latin typeface="Meiryo UI" panose="020B0604030504040204" pitchFamily="50" charset="-128"/>
            <a:ea typeface="Meiryo UI" panose="020B0604030504040204" pitchFamily="50" charset="-128"/>
          </a:endParaRPr>
        </a:p>
        <a:p>
          <a:endParaRPr lang="ja-JP" altLang="en-US" sz="1000">
            <a:latin typeface="Meiryo UI" panose="020B0604030504040204" pitchFamily="50" charset="-128"/>
            <a:ea typeface="Meiryo UI" panose="020B0604030504040204" pitchFamily="50" charset="-128"/>
          </a:endParaRPr>
        </a:p>
        <a:p>
          <a:r>
            <a:rPr lang="en-US" altLang="ja-JP" sz="1000" b="1">
              <a:latin typeface="Meiryo UI" panose="020B0604030504040204" pitchFamily="50" charset="-128"/>
              <a:ea typeface="Meiryo UI" panose="020B0604030504040204" pitchFamily="50" charset="-128"/>
            </a:rPr>
            <a:t>4. </a:t>
          </a:r>
          <a:r>
            <a:rPr lang="ja-JP" altLang="en-US" sz="1000" b="1">
              <a:latin typeface="Meiryo UI" panose="020B0604030504040204" pitchFamily="50" charset="-128"/>
              <a:ea typeface="Meiryo UI" panose="020B0604030504040204" pitchFamily="50" charset="-128"/>
            </a:rPr>
            <a:t>概算工数およびバッファについて</a:t>
          </a:r>
        </a:p>
        <a:p>
          <a:r>
            <a:rPr lang="ja-JP" altLang="en-US" sz="1000">
              <a:latin typeface="Meiryo UI" panose="020B0604030504040204" pitchFamily="50" charset="-128"/>
              <a:ea typeface="Meiryo UI" panose="020B0604030504040204" pitchFamily="50" charset="-128"/>
            </a:rPr>
            <a:t>   　要件が曖昧な項目については、以下の要因を考慮して</a:t>
          </a:r>
          <a:r>
            <a:rPr lang="ja-JP" altLang="en-US" sz="1000">
              <a:solidFill>
                <a:srgbClr val="FF0000"/>
              </a:solidFill>
              <a:latin typeface="Meiryo UI" panose="020B0604030504040204" pitchFamily="50" charset="-128"/>
              <a:ea typeface="Meiryo UI" panose="020B0604030504040204" pitchFamily="50" charset="-128"/>
            </a:rPr>
            <a:t>**バッファ係数（</a:t>
          </a:r>
          <a:r>
            <a:rPr lang="en-US" altLang="ja-JP" sz="1000">
              <a:solidFill>
                <a:srgbClr val="FF0000"/>
              </a:solidFill>
              <a:latin typeface="Meiryo UI" panose="020B0604030504040204" pitchFamily="50" charset="-128"/>
              <a:ea typeface="Meiryo UI" panose="020B0604030504040204" pitchFamily="50" charset="-128"/>
            </a:rPr>
            <a:t>1.3〜1.5</a:t>
          </a:r>
          <a:r>
            <a:rPr lang="ja-JP" altLang="en-US" sz="1000">
              <a:solidFill>
                <a:srgbClr val="FF0000"/>
              </a:solidFill>
              <a:latin typeface="Meiryo UI" panose="020B0604030504040204" pitchFamily="50" charset="-128"/>
              <a:ea typeface="Meiryo UI" panose="020B0604030504040204" pitchFamily="50" charset="-128"/>
            </a:rPr>
            <a:t>）**</a:t>
          </a:r>
          <a:r>
            <a:rPr lang="ja-JP" altLang="en-US" sz="1000">
              <a:latin typeface="Meiryo UI" panose="020B0604030504040204" pitchFamily="50" charset="-128"/>
              <a:ea typeface="Meiryo UI" panose="020B0604030504040204" pitchFamily="50" charset="-128"/>
            </a:rPr>
            <a:t>を設定。</a:t>
          </a:r>
        </a:p>
        <a:p>
          <a:r>
            <a:rPr lang="ja-JP" altLang="en-US" sz="1000" b="1">
              <a:latin typeface="Meiryo UI" panose="020B0604030504040204" pitchFamily="50" charset="-128"/>
              <a:ea typeface="Meiryo UI" panose="020B0604030504040204" pitchFamily="50" charset="-128"/>
            </a:rPr>
            <a:t>　調査リスク       </a:t>
          </a:r>
          <a:r>
            <a:rPr lang="ja-JP" altLang="en-US" sz="1000">
              <a:latin typeface="Meiryo UI" panose="020B0604030504040204" pitchFamily="50" charset="-128"/>
              <a:ea typeface="Meiryo UI" panose="020B0604030504040204" pitchFamily="50" charset="-128"/>
            </a:rPr>
            <a:t>：ログ表示エラー（項目</a:t>
          </a:r>
          <a:r>
            <a:rPr lang="en-US" altLang="ja-JP" sz="1000">
              <a:latin typeface="Meiryo UI" panose="020B0604030504040204" pitchFamily="50" charset="-128"/>
              <a:ea typeface="Meiryo UI" panose="020B0604030504040204" pitchFamily="50" charset="-128"/>
            </a:rPr>
            <a:t>18</a:t>
          </a:r>
          <a:r>
            <a:rPr lang="ja-JP" altLang="en-US" sz="1000">
              <a:latin typeface="Meiryo UI" panose="020B0604030504040204" pitchFamily="50" charset="-128"/>
              <a:ea typeface="Meiryo UI" panose="020B0604030504040204" pitchFamily="50" charset="-128"/>
            </a:rPr>
            <a:t>）や疎通不良（項目</a:t>
          </a:r>
          <a:r>
            <a:rPr lang="en-US" altLang="ja-JP" sz="1000">
              <a:latin typeface="Meiryo UI" panose="020B0604030504040204" pitchFamily="50" charset="-128"/>
              <a:ea typeface="Meiryo UI" panose="020B0604030504040204" pitchFamily="50" charset="-128"/>
            </a:rPr>
            <a:t>20</a:t>
          </a:r>
          <a:r>
            <a:rPr lang="ja-JP" altLang="en-US" sz="1000">
              <a:latin typeface="Meiryo UI" panose="020B0604030504040204" pitchFamily="50" charset="-128"/>
              <a:ea typeface="Meiryo UI" panose="020B0604030504040204" pitchFamily="50" charset="-128"/>
            </a:rPr>
            <a:t>）における原因切り分け調査の不確実性</a:t>
          </a:r>
        </a:p>
        <a:p>
          <a:r>
            <a:rPr lang="ja-JP" altLang="en-US" sz="1000" b="1">
              <a:latin typeface="Meiryo UI" panose="020B0604030504040204" pitchFamily="50" charset="-128"/>
              <a:ea typeface="Meiryo UI" panose="020B0604030504040204" pitchFamily="50" charset="-128"/>
            </a:rPr>
            <a:t>　ドキュメント負荷</a:t>
          </a:r>
          <a:r>
            <a:rPr lang="ja-JP" altLang="en-US" sz="1000">
              <a:latin typeface="Meiryo UI" panose="020B0604030504040204" pitchFamily="50" charset="-128"/>
              <a:ea typeface="Meiryo UI" panose="020B0604030504040204" pitchFamily="50" charset="-128"/>
            </a:rPr>
            <a:t>：既存の設計書、パラメータシート、運用手順書一式の整合性を担保するための工数</a:t>
          </a:r>
        </a:p>
        <a:p>
          <a:r>
            <a:rPr lang="ja-JP" altLang="en-US" sz="1000" b="1">
              <a:latin typeface="Meiryo UI" panose="020B0604030504040204" pitchFamily="50" charset="-128"/>
              <a:ea typeface="Meiryo UI" panose="020B0604030504040204" pitchFamily="50" charset="-128"/>
            </a:rPr>
            <a:t>　テスト             </a:t>
          </a:r>
          <a:r>
            <a:rPr lang="ja-JP" altLang="en-US" sz="1000">
              <a:latin typeface="Meiryo UI" panose="020B0604030504040204" pitchFamily="50" charset="-128"/>
              <a:ea typeface="Meiryo UI" panose="020B0604030504040204" pitchFamily="50" charset="-128"/>
            </a:rPr>
            <a:t>：一部の修正（</a:t>
          </a:r>
          <a:r>
            <a:rPr lang="en-US" altLang="ja-JP" sz="1000">
              <a:latin typeface="Meiryo UI" panose="020B0604030504040204" pitchFamily="50" charset="-128"/>
              <a:ea typeface="Meiryo UI" panose="020B0604030504040204" pitchFamily="50" charset="-128"/>
            </a:rPr>
            <a:t>Nginx</a:t>
          </a:r>
          <a:r>
            <a:rPr lang="ja-JP" altLang="en-US" sz="1000">
              <a:latin typeface="Meiryo UI" panose="020B0604030504040204" pitchFamily="50" charset="-128"/>
              <a:ea typeface="Meiryo UI" panose="020B0604030504040204" pitchFamily="50" charset="-128"/>
            </a:rPr>
            <a:t>や</a:t>
          </a:r>
          <a:r>
            <a:rPr lang="en-US" altLang="ja-JP" sz="1000">
              <a:latin typeface="Meiryo UI" panose="020B0604030504040204" pitchFamily="50" charset="-128"/>
              <a:ea typeface="Meiryo UI" panose="020B0604030504040204" pitchFamily="50" charset="-128"/>
            </a:rPr>
            <a:t>API</a:t>
          </a:r>
          <a:r>
            <a:rPr lang="ja-JP" altLang="en-US" sz="1000">
              <a:latin typeface="Meiryo UI" panose="020B0604030504040204" pitchFamily="50" charset="-128"/>
              <a:ea typeface="Meiryo UI" panose="020B0604030504040204" pitchFamily="50" charset="-128"/>
            </a:rPr>
            <a:t>移行）がシステム全体に及ぼす影響を確認するための検証工数</a:t>
          </a:r>
        </a:p>
        <a:p>
          <a:endParaRPr kumimoji="1" lang="ja-JP" altLang="en-US" sz="1000">
            <a:latin typeface="Meiryo UI" panose="020B0604030504040204" pitchFamily="50" charset="-128"/>
            <a:ea typeface="Meiryo UI" panose="020B0604030504040204" pitchFamily="50" charset="-128"/>
          </a:endParaRPr>
        </a:p>
      </xdr:txBody>
    </xdr:sp>
    <xdr:clientData/>
  </xdr:twoCellAnchor>
</xdr:wsDr>
</file>

<file path=xl/tables/table1.xml><?xml version="1.0" encoding="utf-8"?>
<table xmlns="http://schemas.openxmlformats.org/spreadsheetml/2006/main" id="1" name="テーブル1" displayName="テーブル1" ref="B30:J49" totalsRowShown="0" headerRowDxfId="9" dataDxfId="8">
  <autoFilter ref="B30:J49"/>
  <sortState ref="B31:H48">
    <sortCondition ref="C30:C48"/>
  </sortState>
  <tableColumns count="9">
    <tableColumn id="1" name="案件" dataDxfId="7"/>
    <tableColumn id="2" name="項目" dataDxfId="6"/>
    <tableColumn id="3" name="内容" dataDxfId="5"/>
    <tableColumn id="4" name="優先度" dataDxfId="4"/>
    <tableColumn id="5" name="人月(1st)" dataDxfId="3"/>
    <tableColumn id="6" name="リスク度" dataDxfId="2"/>
    <tableColumn id="8" name="リスク工数"/>
    <tableColumn id="9" name="人月(2nd+リスク工数)" dataDxfId="0">
      <calculatedColumnFormula>テーブル1[[#This Row],[人月(1st)]]*テーブル1[[#This Row],[リスク工数]]</calculatedColumnFormula>
    </tableColumn>
    <tableColumn id="7" name="リスク内容"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L39"/>
  <sheetViews>
    <sheetView workbookViewId="0"/>
  </sheetViews>
  <sheetFormatPr defaultColWidth="8.625" defaultRowHeight="18.75"/>
  <cols>
    <col min="1" max="1" width="4.375" style="18" customWidth="1"/>
    <col min="2" max="2" width="5.375" style="18" bestFit="1" customWidth="1"/>
    <col min="3" max="3" width="42.125" style="18" customWidth="1"/>
    <col min="4" max="4" width="44.875" style="18" customWidth="1"/>
    <col min="5" max="5" width="64" style="18" bestFit="1" customWidth="1"/>
    <col min="6" max="6" width="7.125" style="18" bestFit="1" customWidth="1"/>
    <col min="7" max="7" width="12.625" style="18" bestFit="1" customWidth="1"/>
    <col min="8" max="8" width="12.625" style="18" customWidth="1"/>
    <col min="9" max="10" width="8.625" style="18"/>
    <col min="11" max="11" width="0" style="18" hidden="1" customWidth="1"/>
    <col min="12" max="12" width="86" style="18" hidden="1" customWidth="1"/>
    <col min="13" max="16384" width="8.625" style="18"/>
  </cols>
  <sheetData>
    <row r="5" spans="2:12" ht="19.5" thickBot="1"/>
    <row r="9" spans="2:12" ht="19.5" thickBot="1"/>
    <row r="10" spans="2:12" s="37" customFormat="1">
      <c r="B10" s="38" t="s">
        <v>0</v>
      </c>
      <c r="C10" s="38" t="s">
        <v>0</v>
      </c>
      <c r="D10" s="38" t="s">
        <v>1</v>
      </c>
      <c r="E10" s="38" t="s">
        <v>152</v>
      </c>
      <c r="F10" s="38" t="s">
        <v>2</v>
      </c>
      <c r="G10" s="38" t="s">
        <v>3</v>
      </c>
      <c r="H10" s="38" t="s">
        <v>4</v>
      </c>
      <c r="J10" s="39" t="s">
        <v>88</v>
      </c>
      <c r="K10" s="23" t="s">
        <v>100</v>
      </c>
      <c r="L10" s="24" t="s">
        <v>101</v>
      </c>
    </row>
    <row r="11" spans="2:12">
      <c r="B11" s="15">
        <f>ROW()-10</f>
        <v>1</v>
      </c>
      <c r="C11" s="15" t="s">
        <v>5</v>
      </c>
      <c r="D11" s="15" t="s">
        <v>6</v>
      </c>
      <c r="E11" s="15" t="s">
        <v>7</v>
      </c>
      <c r="F11" s="15" t="s">
        <v>8</v>
      </c>
      <c r="G11" s="15" t="s">
        <v>9</v>
      </c>
      <c r="H11" s="16" t="s">
        <v>10</v>
      </c>
      <c r="J11" s="25">
        <v>1.5</v>
      </c>
      <c r="K11" s="28" t="s">
        <v>112</v>
      </c>
      <c r="L11" s="29" t="s">
        <v>115</v>
      </c>
    </row>
    <row r="12" spans="2:12" customFormat="1" ht="31.5">
      <c r="B12" s="1">
        <f t="shared" ref="B12:B36" si="0">ROW()-10</f>
        <v>2</v>
      </c>
      <c r="C12" s="1" t="s">
        <v>11</v>
      </c>
      <c r="D12" s="1" t="s">
        <v>12</v>
      </c>
      <c r="E12" s="1" t="s">
        <v>13</v>
      </c>
      <c r="F12" s="1" t="s">
        <v>8</v>
      </c>
      <c r="G12" s="1" t="s">
        <v>9</v>
      </c>
      <c r="H12" s="5" t="s">
        <v>14</v>
      </c>
      <c r="J12" s="25">
        <v>2</v>
      </c>
      <c r="K12" s="26" t="s">
        <v>113</v>
      </c>
      <c r="L12" s="15" t="s">
        <v>127</v>
      </c>
    </row>
    <row r="13" spans="2:12" customFormat="1">
      <c r="B13" s="1">
        <f t="shared" si="0"/>
        <v>3</v>
      </c>
      <c r="C13" s="1" t="s">
        <v>15</v>
      </c>
      <c r="D13" s="1" t="s">
        <v>16</v>
      </c>
      <c r="E13" s="1" t="s">
        <v>17</v>
      </c>
      <c r="F13" s="1" t="s">
        <v>18</v>
      </c>
      <c r="G13" s="1" t="s">
        <v>19</v>
      </c>
      <c r="H13" s="5" t="s">
        <v>14</v>
      </c>
      <c r="J13" s="25">
        <v>0.5</v>
      </c>
      <c r="K13" s="26" t="s">
        <v>114</v>
      </c>
      <c r="L13" s="15" t="s">
        <v>128</v>
      </c>
    </row>
    <row r="14" spans="2:12" customFormat="1" ht="31.5">
      <c r="B14" s="8">
        <f t="shared" si="0"/>
        <v>4</v>
      </c>
      <c r="C14" s="8" t="s">
        <v>20</v>
      </c>
      <c r="D14" s="8" t="s">
        <v>21</v>
      </c>
      <c r="E14" s="12"/>
      <c r="F14" s="8" t="s">
        <v>22</v>
      </c>
      <c r="G14" s="8" t="s">
        <v>23</v>
      </c>
      <c r="H14" s="8" t="s">
        <v>24</v>
      </c>
      <c r="J14" s="27"/>
      <c r="K14" s="27"/>
      <c r="L14" s="27"/>
    </row>
    <row r="15" spans="2:12" customFormat="1" ht="31.5">
      <c r="B15" s="8">
        <f t="shared" si="0"/>
        <v>5</v>
      </c>
      <c r="C15" s="8" t="s">
        <v>25</v>
      </c>
      <c r="D15" s="8" t="s">
        <v>26</v>
      </c>
      <c r="E15" s="12"/>
      <c r="F15" s="8" t="s">
        <v>22</v>
      </c>
      <c r="G15" s="8" t="s">
        <v>23</v>
      </c>
      <c r="H15" s="8" t="s">
        <v>24</v>
      </c>
      <c r="J15" s="27"/>
      <c r="K15" s="27"/>
      <c r="L15" s="27"/>
    </row>
    <row r="16" spans="2:12" customFormat="1" ht="63">
      <c r="B16" s="1">
        <f t="shared" si="0"/>
        <v>6</v>
      </c>
      <c r="C16" s="1" t="s">
        <v>27</v>
      </c>
      <c r="D16" s="1" t="s">
        <v>28</v>
      </c>
      <c r="E16" s="1" t="s">
        <v>17</v>
      </c>
      <c r="F16" s="1" t="s">
        <v>29</v>
      </c>
      <c r="G16" s="1" t="s">
        <v>19</v>
      </c>
      <c r="H16" s="5" t="s">
        <v>30</v>
      </c>
      <c r="J16" s="25">
        <v>0.5</v>
      </c>
      <c r="K16" s="26" t="s">
        <v>114</v>
      </c>
      <c r="L16" s="15" t="s">
        <v>129</v>
      </c>
    </row>
    <row r="17" spans="2:12" s="37" customFormat="1" ht="92.45" customHeight="1">
      <c r="B17" s="40">
        <f t="shared" si="0"/>
        <v>7</v>
      </c>
      <c r="C17" s="40" t="s">
        <v>31</v>
      </c>
      <c r="D17" s="40" t="s">
        <v>150</v>
      </c>
      <c r="E17" s="44" t="s">
        <v>153</v>
      </c>
      <c r="F17" s="40" t="s">
        <v>22</v>
      </c>
      <c r="G17" s="40" t="s">
        <v>23</v>
      </c>
      <c r="H17" s="41" t="s">
        <v>32</v>
      </c>
      <c r="I17" s="42" t="s">
        <v>33</v>
      </c>
      <c r="J17" s="45">
        <v>1</v>
      </c>
      <c r="K17" s="26" t="s">
        <v>113</v>
      </c>
      <c r="L17" s="15" t="s">
        <v>122</v>
      </c>
    </row>
    <row r="18" spans="2:12" s="37" customFormat="1" ht="47.25">
      <c r="B18" s="40">
        <f t="shared" si="0"/>
        <v>8</v>
      </c>
      <c r="C18" s="40" t="s">
        <v>34</v>
      </c>
      <c r="D18" s="40" t="s">
        <v>35</v>
      </c>
      <c r="E18" s="2" t="s">
        <v>151</v>
      </c>
      <c r="F18" s="40" t="s">
        <v>22</v>
      </c>
      <c r="G18" s="40" t="s">
        <v>23</v>
      </c>
      <c r="H18" s="41" t="s">
        <v>32</v>
      </c>
      <c r="J18" s="43">
        <v>1</v>
      </c>
      <c r="K18" s="26" t="s">
        <v>114</v>
      </c>
      <c r="L18" s="15" t="s">
        <v>123</v>
      </c>
    </row>
    <row r="19" spans="2:12" customFormat="1" ht="31.5">
      <c r="B19" s="1">
        <f t="shared" si="0"/>
        <v>9</v>
      </c>
      <c r="C19" s="1" t="s">
        <v>36</v>
      </c>
      <c r="D19" s="1" t="s">
        <v>37</v>
      </c>
      <c r="E19" s="1" t="s">
        <v>38</v>
      </c>
      <c r="F19" s="1" t="s">
        <v>18</v>
      </c>
      <c r="G19" s="1" t="s">
        <v>9</v>
      </c>
      <c r="H19" s="5" t="s">
        <v>39</v>
      </c>
      <c r="J19" s="25">
        <v>2</v>
      </c>
      <c r="K19" s="28" t="s">
        <v>112</v>
      </c>
      <c r="L19" s="29" t="s">
        <v>130</v>
      </c>
    </row>
    <row r="20" spans="2:12" ht="47.25">
      <c r="B20" s="15">
        <f t="shared" si="0"/>
        <v>10</v>
      </c>
      <c r="C20" s="15" t="s">
        <v>40</v>
      </c>
      <c r="D20" s="15" t="s">
        <v>41</v>
      </c>
      <c r="E20" s="19"/>
      <c r="F20" s="15" t="s">
        <v>22</v>
      </c>
      <c r="G20" s="15" t="s">
        <v>42</v>
      </c>
      <c r="H20" s="16" t="s">
        <v>10</v>
      </c>
      <c r="J20" s="25">
        <v>0.5</v>
      </c>
      <c r="K20" s="26" t="s">
        <v>114</v>
      </c>
      <c r="L20" s="15" t="s">
        <v>116</v>
      </c>
    </row>
    <row r="21" spans="2:12" ht="94.5">
      <c r="B21" s="15">
        <f t="shared" si="0"/>
        <v>11</v>
      </c>
      <c r="C21" s="15" t="s">
        <v>43</v>
      </c>
      <c r="D21" s="15" t="s">
        <v>44</v>
      </c>
      <c r="E21" s="15" t="s">
        <v>45</v>
      </c>
      <c r="F21" s="15" t="s">
        <v>8</v>
      </c>
      <c r="G21" s="15" t="s">
        <v>19</v>
      </c>
      <c r="H21" s="16" t="s">
        <v>10</v>
      </c>
      <c r="J21" s="25">
        <v>1.5</v>
      </c>
      <c r="K21" s="28" t="s">
        <v>112</v>
      </c>
      <c r="L21" s="29" t="s">
        <v>117</v>
      </c>
    </row>
    <row r="22" spans="2:12" customFormat="1" ht="126">
      <c r="B22" s="1">
        <f t="shared" si="0"/>
        <v>12</v>
      </c>
      <c r="C22" s="1" t="s">
        <v>46</v>
      </c>
      <c r="D22" s="1" t="s">
        <v>47</v>
      </c>
      <c r="E22" s="1" t="s">
        <v>17</v>
      </c>
      <c r="F22" s="1" t="s">
        <v>18</v>
      </c>
      <c r="G22" s="1" t="s">
        <v>19</v>
      </c>
      <c r="H22" s="5" t="s">
        <v>48</v>
      </c>
      <c r="J22" s="25">
        <v>2</v>
      </c>
      <c r="K22" s="26" t="s">
        <v>113</v>
      </c>
      <c r="L22" s="15" t="s">
        <v>131</v>
      </c>
    </row>
    <row r="23" spans="2:12" customFormat="1" ht="31.5">
      <c r="B23" s="8">
        <f t="shared" si="0"/>
        <v>13</v>
      </c>
      <c r="C23" s="8" t="s">
        <v>49</v>
      </c>
      <c r="D23" s="8" t="s">
        <v>50</v>
      </c>
      <c r="E23" s="8" t="s">
        <v>51</v>
      </c>
      <c r="F23" s="8" t="s">
        <v>52</v>
      </c>
      <c r="G23" s="8" t="s">
        <v>23</v>
      </c>
      <c r="H23" s="11" t="s">
        <v>53</v>
      </c>
      <c r="J23" s="27"/>
      <c r="K23" s="27"/>
      <c r="L23" s="27"/>
    </row>
    <row r="24" spans="2:12" customFormat="1" ht="94.5">
      <c r="B24" s="1">
        <f t="shared" si="0"/>
        <v>14</v>
      </c>
      <c r="C24" s="1" t="s">
        <v>54</v>
      </c>
      <c r="D24" s="1" t="s">
        <v>55</v>
      </c>
      <c r="E24" s="2"/>
      <c r="F24" s="1" t="s">
        <v>22</v>
      </c>
      <c r="G24" s="1" t="s">
        <v>23</v>
      </c>
      <c r="H24" s="6"/>
      <c r="J24" s="27"/>
      <c r="K24" s="27"/>
      <c r="L24" s="27"/>
    </row>
    <row r="25" spans="2:12" s="37" customFormat="1" ht="31.5">
      <c r="B25" s="40">
        <f t="shared" si="0"/>
        <v>15</v>
      </c>
      <c r="C25" s="40" t="s">
        <v>56</v>
      </c>
      <c r="D25" s="40" t="s">
        <v>57</v>
      </c>
      <c r="E25" s="2"/>
      <c r="F25" s="40" t="s">
        <v>22</v>
      </c>
      <c r="G25" s="40" t="s">
        <v>23</v>
      </c>
      <c r="H25" s="6" t="s">
        <v>58</v>
      </c>
      <c r="J25" s="43">
        <v>0.5</v>
      </c>
      <c r="K25" s="26" t="s">
        <v>114</v>
      </c>
      <c r="L25" s="15" t="s">
        <v>124</v>
      </c>
    </row>
    <row r="26" spans="2:12" s="37" customFormat="1" ht="31.5">
      <c r="B26" s="40">
        <f t="shared" si="0"/>
        <v>16</v>
      </c>
      <c r="C26" s="40" t="s">
        <v>59</v>
      </c>
      <c r="D26" s="40" t="s">
        <v>60</v>
      </c>
      <c r="E26" s="2"/>
      <c r="F26" s="40" t="s">
        <v>22</v>
      </c>
      <c r="G26" s="40" t="s">
        <v>23</v>
      </c>
      <c r="H26" s="6" t="s">
        <v>58</v>
      </c>
      <c r="J26" s="43">
        <v>0.5</v>
      </c>
      <c r="K26" s="26" t="s">
        <v>113</v>
      </c>
      <c r="L26" s="15" t="s">
        <v>125</v>
      </c>
    </row>
    <row r="27" spans="2:12" customFormat="1" ht="31.5">
      <c r="B27" s="8">
        <f t="shared" si="0"/>
        <v>17</v>
      </c>
      <c r="C27" s="8" t="s">
        <v>61</v>
      </c>
      <c r="D27" s="8" t="s">
        <v>62</v>
      </c>
      <c r="E27" s="8" t="s">
        <v>63</v>
      </c>
      <c r="F27" s="8" t="s">
        <v>52</v>
      </c>
      <c r="G27" s="8" t="s">
        <v>19</v>
      </c>
      <c r="H27" s="11" t="s">
        <v>64</v>
      </c>
      <c r="J27" s="27"/>
      <c r="K27" s="27"/>
      <c r="L27" s="27"/>
    </row>
    <row r="28" spans="2:12" ht="31.5">
      <c r="B28" s="15">
        <f t="shared" si="0"/>
        <v>18</v>
      </c>
      <c r="C28" s="15" t="s">
        <v>65</v>
      </c>
      <c r="D28" s="15" t="s">
        <v>66</v>
      </c>
      <c r="E28" s="15" t="s">
        <v>67</v>
      </c>
      <c r="F28" s="15" t="s">
        <v>8</v>
      </c>
      <c r="G28" s="15" t="s">
        <v>9</v>
      </c>
      <c r="H28" s="20" t="s">
        <v>68</v>
      </c>
      <c r="J28" s="25">
        <v>1.5</v>
      </c>
      <c r="K28" s="26" t="s">
        <v>113</v>
      </c>
      <c r="L28" s="15" t="s">
        <v>121</v>
      </c>
    </row>
    <row r="29" spans="2:12" s="37" customFormat="1" ht="63">
      <c r="B29" s="40">
        <f t="shared" si="0"/>
        <v>19</v>
      </c>
      <c r="C29" s="40" t="s">
        <v>69</v>
      </c>
      <c r="D29" s="40" t="s">
        <v>70</v>
      </c>
      <c r="E29" s="40" t="s">
        <v>71</v>
      </c>
      <c r="F29" s="40" t="s">
        <v>8</v>
      </c>
      <c r="G29" s="40" t="s">
        <v>19</v>
      </c>
      <c r="H29" s="6" t="s">
        <v>58</v>
      </c>
      <c r="J29" s="43">
        <v>1</v>
      </c>
      <c r="K29" s="26" t="s">
        <v>114</v>
      </c>
      <c r="L29" s="15" t="s">
        <v>126</v>
      </c>
    </row>
    <row r="30" spans="2:12" ht="78.75">
      <c r="B30" s="15">
        <f t="shared" si="0"/>
        <v>20</v>
      </c>
      <c r="C30" s="15" t="s">
        <v>72</v>
      </c>
      <c r="D30" s="15" t="s">
        <v>73</v>
      </c>
      <c r="E30" s="15" t="s">
        <v>7</v>
      </c>
      <c r="F30" s="15" t="s">
        <v>18</v>
      </c>
      <c r="G30" s="15" t="s">
        <v>9</v>
      </c>
      <c r="H30" s="20" t="s">
        <v>68</v>
      </c>
      <c r="J30" s="25">
        <v>0.5</v>
      </c>
      <c r="K30" s="26" t="s">
        <v>113</v>
      </c>
      <c r="L30" s="15" t="s">
        <v>118</v>
      </c>
    </row>
    <row r="31" spans="2:12" ht="47.25">
      <c r="B31" s="15">
        <f t="shared" si="0"/>
        <v>21</v>
      </c>
      <c r="C31" s="17" t="s">
        <v>90</v>
      </c>
      <c r="D31" s="17" t="s">
        <v>89</v>
      </c>
      <c r="E31" s="17" t="s">
        <v>74</v>
      </c>
      <c r="F31" s="46" t="s">
        <v>52</v>
      </c>
      <c r="G31" s="17" t="s">
        <v>9</v>
      </c>
      <c r="H31" s="21" t="s">
        <v>68</v>
      </c>
      <c r="J31" s="47">
        <v>1.4</v>
      </c>
      <c r="K31" s="26" t="s">
        <v>113</v>
      </c>
      <c r="L31" s="15" t="s">
        <v>119</v>
      </c>
    </row>
    <row r="32" spans="2:12">
      <c r="B32" s="15">
        <f t="shared" si="0"/>
        <v>22</v>
      </c>
      <c r="C32" s="17" t="s">
        <v>75</v>
      </c>
      <c r="D32" s="22"/>
      <c r="E32" s="22"/>
      <c r="F32" s="22"/>
      <c r="G32" s="22"/>
      <c r="H32" s="21" t="s">
        <v>68</v>
      </c>
      <c r="J32" s="25">
        <v>1</v>
      </c>
      <c r="K32" s="28" t="s">
        <v>112</v>
      </c>
      <c r="L32" s="29" t="s">
        <v>120</v>
      </c>
    </row>
    <row r="33" spans="2:12" customFormat="1">
      <c r="B33" s="1">
        <f t="shared" si="0"/>
        <v>23</v>
      </c>
      <c r="C33" s="3" t="s">
        <v>76</v>
      </c>
      <c r="D33" s="4"/>
      <c r="E33" s="3" t="s">
        <v>77</v>
      </c>
      <c r="F33" s="3" t="s">
        <v>18</v>
      </c>
      <c r="G33" s="3" t="s">
        <v>19</v>
      </c>
      <c r="H33" s="7"/>
      <c r="J33" s="26"/>
      <c r="K33" s="26"/>
      <c r="L33" s="15"/>
    </row>
    <row r="34" spans="2:12" customFormat="1" ht="31.5">
      <c r="B34" s="1">
        <f t="shared" si="0"/>
        <v>24</v>
      </c>
      <c r="C34" s="3" t="s">
        <v>78</v>
      </c>
      <c r="D34" s="3" t="s">
        <v>79</v>
      </c>
      <c r="E34" s="3" t="s">
        <v>80</v>
      </c>
      <c r="F34" s="3" t="s">
        <v>18</v>
      </c>
      <c r="G34" s="3" t="s">
        <v>19</v>
      </c>
      <c r="H34" s="7" t="s">
        <v>48</v>
      </c>
      <c r="J34" s="25">
        <v>1.5</v>
      </c>
      <c r="K34" s="26" t="s">
        <v>114</v>
      </c>
      <c r="L34" s="15" t="s">
        <v>132</v>
      </c>
    </row>
    <row r="35" spans="2:12" customFormat="1" ht="31.5">
      <c r="B35" s="8">
        <f t="shared" si="0"/>
        <v>25</v>
      </c>
      <c r="C35" s="9" t="s">
        <v>81</v>
      </c>
      <c r="D35" s="9" t="s">
        <v>82</v>
      </c>
      <c r="E35" s="9" t="s">
        <v>83</v>
      </c>
      <c r="F35" s="10"/>
      <c r="G35" s="10"/>
      <c r="H35" s="11" t="s">
        <v>64</v>
      </c>
      <c r="J35" s="27"/>
      <c r="K35" s="27"/>
      <c r="L35" s="27"/>
    </row>
    <row r="36" spans="2:12" customFormat="1" ht="47.25">
      <c r="B36" s="8">
        <f t="shared" si="0"/>
        <v>26</v>
      </c>
      <c r="C36" s="9" t="s">
        <v>84</v>
      </c>
      <c r="D36" s="9" t="s">
        <v>85</v>
      </c>
      <c r="E36" s="9" t="s">
        <v>86</v>
      </c>
      <c r="F36" s="10"/>
      <c r="G36" s="10"/>
      <c r="H36" s="11" t="s">
        <v>87</v>
      </c>
      <c r="J36" s="27"/>
      <c r="K36" s="27"/>
      <c r="L36" s="27"/>
    </row>
    <row r="37" spans="2:12" s="37" customFormat="1">
      <c r="K37" s="18"/>
      <c r="L37" s="18"/>
    </row>
    <row r="38" spans="2:12" s="37" customFormat="1">
      <c r="K38" s="18"/>
      <c r="L38" s="18"/>
    </row>
    <row r="39" spans="2:12" s="37" customFormat="1">
      <c r="K39" s="18"/>
      <c r="L39" s="18"/>
    </row>
  </sheetData>
  <autoFilter ref="B10:H36"/>
  <phoneticPr fontId="3"/>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Config!$A$1:$A$3</xm:f>
          </x14:formula1>
          <xm:sqref>K11:K36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8:J53"/>
  <sheetViews>
    <sheetView tabSelected="1" topLeftCell="A19" workbookViewId="0">
      <selection activeCell="D34" sqref="D34"/>
    </sheetView>
  </sheetViews>
  <sheetFormatPr defaultColWidth="8.625" defaultRowHeight="15.75"/>
  <cols>
    <col min="1" max="1" width="4.375" style="13" customWidth="1"/>
    <col min="2" max="2" width="8.625" style="13"/>
    <col min="3" max="3" width="6.125" style="13" customWidth="1"/>
    <col min="4" max="4" width="28.75" style="13" bestFit="1" customWidth="1"/>
    <col min="5" max="5" width="9.5" style="13" bestFit="1" customWidth="1"/>
    <col min="6" max="6" width="11.25" style="13" bestFit="1" customWidth="1"/>
    <col min="7" max="7" width="10.125" style="13" bestFit="1" customWidth="1"/>
    <col min="8" max="8" width="9.75" style="13" customWidth="1"/>
    <col min="9" max="9" width="20.5" style="13" customWidth="1"/>
    <col min="10" max="10" width="61.5" style="13" bestFit="1" customWidth="1"/>
    <col min="11" max="16384" width="8.625" style="13"/>
  </cols>
  <sheetData>
    <row r="28" spans="2:10">
      <c r="B28" s="13" t="s">
        <v>99</v>
      </c>
    </row>
    <row r="29" spans="2:10" s="14" customFormat="1">
      <c r="B29" s="13"/>
    </row>
    <row r="30" spans="2:10">
      <c r="B30" s="30" t="s">
        <v>4</v>
      </c>
      <c r="C30" s="30" t="s">
        <v>0</v>
      </c>
      <c r="D30" s="30" t="s">
        <v>1</v>
      </c>
      <c r="E30" s="30" t="s">
        <v>2</v>
      </c>
      <c r="F30" s="30" t="s">
        <v>155</v>
      </c>
      <c r="G30" s="30" t="s">
        <v>100</v>
      </c>
      <c r="H30" s="30" t="s">
        <v>154</v>
      </c>
      <c r="I30" s="30" t="s">
        <v>156</v>
      </c>
      <c r="J30" s="30" t="s">
        <v>101</v>
      </c>
    </row>
    <row r="31" spans="2:10">
      <c r="B31" s="31" t="s">
        <v>32</v>
      </c>
      <c r="C31" s="31">
        <v>7</v>
      </c>
      <c r="D31" s="31" t="s">
        <v>91</v>
      </c>
      <c r="E31" s="32" t="s">
        <v>158</v>
      </c>
      <c r="F31" s="31">
        <v>1</v>
      </c>
      <c r="G31" s="36" t="s">
        <v>8</v>
      </c>
      <c r="H31" s="36">
        <v>1.3</v>
      </c>
      <c r="I31" s="36">
        <f>テーブル1[[#This Row],[人月(1st)]]*テーブル1[[#This Row],[リスク工数]]</f>
        <v>1.3</v>
      </c>
      <c r="J31" s="31" t="s">
        <v>135</v>
      </c>
    </row>
    <row r="32" spans="2:10">
      <c r="B32" s="31" t="s">
        <v>32</v>
      </c>
      <c r="C32" s="31">
        <v>8</v>
      </c>
      <c r="D32" s="31" t="s">
        <v>92</v>
      </c>
      <c r="E32" s="33" t="s">
        <v>8</v>
      </c>
      <c r="F32" s="31">
        <v>0.7</v>
      </c>
      <c r="G32" s="34" t="s">
        <v>18</v>
      </c>
      <c r="H32" s="34">
        <v>1.3</v>
      </c>
      <c r="I32" s="36">
        <f>テーブル1[[#This Row],[人月(1st)]]*テーブル1[[#This Row],[リスク工数]]</f>
        <v>0.90999999999999992</v>
      </c>
      <c r="J32" s="31" t="s">
        <v>134</v>
      </c>
    </row>
    <row r="33" spans="2:10">
      <c r="B33" s="31" t="s">
        <v>32</v>
      </c>
      <c r="C33" s="31">
        <v>15</v>
      </c>
      <c r="D33" s="31" t="s">
        <v>102</v>
      </c>
      <c r="E33" s="34" t="s">
        <v>18</v>
      </c>
      <c r="F33" s="31">
        <v>0.5</v>
      </c>
      <c r="G33" s="34" t="s">
        <v>18</v>
      </c>
      <c r="H33" s="34">
        <v>1.3</v>
      </c>
      <c r="I33" s="36">
        <f>テーブル1[[#This Row],[人月(1st)]]*テーブル1[[#This Row],[リスク工数]]</f>
        <v>0.65</v>
      </c>
      <c r="J33" s="31" t="s">
        <v>124</v>
      </c>
    </row>
    <row r="34" spans="2:10">
      <c r="B34" s="31" t="s">
        <v>32</v>
      </c>
      <c r="C34" s="31">
        <v>16</v>
      </c>
      <c r="D34" s="31" t="s">
        <v>103</v>
      </c>
      <c r="E34" s="33" t="s">
        <v>8</v>
      </c>
      <c r="F34" s="31">
        <v>0.5</v>
      </c>
      <c r="G34" s="36" t="s">
        <v>8</v>
      </c>
      <c r="H34" s="36">
        <v>1.4</v>
      </c>
      <c r="I34" s="36">
        <f>テーブル1[[#This Row],[人月(1st)]]*テーブル1[[#This Row],[リスク工数]]</f>
        <v>0.7</v>
      </c>
      <c r="J34" s="31" t="s">
        <v>136</v>
      </c>
    </row>
    <row r="35" spans="2:10">
      <c r="B35" s="31" t="s">
        <v>32</v>
      </c>
      <c r="C35" s="31">
        <v>19</v>
      </c>
      <c r="D35" s="31" t="s">
        <v>104</v>
      </c>
      <c r="E35" s="34" t="s">
        <v>18</v>
      </c>
      <c r="F35" s="31">
        <v>0.7</v>
      </c>
      <c r="G35" s="34" t="s">
        <v>18</v>
      </c>
      <c r="H35" s="34">
        <v>1.3</v>
      </c>
      <c r="I35" s="36">
        <f>テーブル1[[#This Row],[人月(1st)]]*テーブル1[[#This Row],[リスク工数]]</f>
        <v>0.90999999999999992</v>
      </c>
      <c r="J35" s="31" t="s">
        <v>137</v>
      </c>
    </row>
    <row r="36" spans="2:10">
      <c r="B36" s="31" t="s">
        <v>10</v>
      </c>
      <c r="C36" s="31">
        <v>1</v>
      </c>
      <c r="D36" s="31" t="s">
        <v>95</v>
      </c>
      <c r="E36" s="33" t="s">
        <v>8</v>
      </c>
      <c r="F36" s="31">
        <v>1.5</v>
      </c>
      <c r="G36" s="32" t="s">
        <v>52</v>
      </c>
      <c r="H36" s="32">
        <v>1.5</v>
      </c>
      <c r="I36" s="36">
        <f>テーブル1[[#This Row],[人月(1st)]]*テーブル1[[#This Row],[リスク工数]]</f>
        <v>2.25</v>
      </c>
      <c r="J36" s="31" t="s">
        <v>115</v>
      </c>
    </row>
    <row r="37" spans="2:10">
      <c r="B37" s="31" t="s">
        <v>10</v>
      </c>
      <c r="C37" s="31">
        <v>10</v>
      </c>
      <c r="D37" s="31" t="s">
        <v>40</v>
      </c>
      <c r="E37" s="35" t="s">
        <v>97</v>
      </c>
      <c r="F37" s="31">
        <v>0.5</v>
      </c>
      <c r="G37" s="34" t="s">
        <v>18</v>
      </c>
      <c r="H37" s="34">
        <v>1.3</v>
      </c>
      <c r="I37" s="36">
        <f>テーブル1[[#This Row],[人月(1st)]]*テーブル1[[#This Row],[リスク工数]]</f>
        <v>0.65</v>
      </c>
      <c r="J37" s="31" t="s">
        <v>138</v>
      </c>
    </row>
    <row r="38" spans="2:10">
      <c r="B38" s="31" t="s">
        <v>10</v>
      </c>
      <c r="C38" s="31">
        <v>11</v>
      </c>
      <c r="D38" s="31" t="s">
        <v>105</v>
      </c>
      <c r="E38" s="33" t="s">
        <v>8</v>
      </c>
      <c r="F38" s="31">
        <v>1.5</v>
      </c>
      <c r="G38" s="32" t="s">
        <v>52</v>
      </c>
      <c r="H38" s="32">
        <v>1.5</v>
      </c>
      <c r="I38" s="36">
        <f>テーブル1[[#This Row],[人月(1st)]]*テーブル1[[#This Row],[リスク工数]]</f>
        <v>2.25</v>
      </c>
      <c r="J38" s="31" t="s">
        <v>117</v>
      </c>
    </row>
    <row r="39" spans="2:10">
      <c r="B39" s="31" t="s">
        <v>10</v>
      </c>
      <c r="C39" s="31">
        <v>18</v>
      </c>
      <c r="D39" s="31" t="s">
        <v>106</v>
      </c>
      <c r="E39" s="33" t="s">
        <v>8</v>
      </c>
      <c r="F39" s="31">
        <v>1.5</v>
      </c>
      <c r="G39" s="36" t="s">
        <v>8</v>
      </c>
      <c r="H39" s="36">
        <v>1.4</v>
      </c>
      <c r="I39" s="36">
        <f>テーブル1[[#This Row],[人月(1st)]]*テーブル1[[#This Row],[リスク工数]]</f>
        <v>2.0999999999999996</v>
      </c>
      <c r="J39" s="31" t="s">
        <v>139</v>
      </c>
    </row>
    <row r="40" spans="2:10">
      <c r="B40" s="31" t="s">
        <v>10</v>
      </c>
      <c r="C40" s="31">
        <v>20</v>
      </c>
      <c r="D40" s="31" t="s">
        <v>107</v>
      </c>
      <c r="E40" s="34" t="s">
        <v>18</v>
      </c>
      <c r="F40" s="31">
        <v>0.5</v>
      </c>
      <c r="G40" s="36" t="s">
        <v>8</v>
      </c>
      <c r="H40" s="36">
        <v>1.4</v>
      </c>
      <c r="I40" s="36">
        <f>テーブル1[[#This Row],[人月(1st)]]*テーブル1[[#This Row],[リスク工数]]</f>
        <v>0.7</v>
      </c>
      <c r="J40" s="31" t="s">
        <v>140</v>
      </c>
    </row>
    <row r="41" spans="2:10">
      <c r="B41" s="31" t="s">
        <v>10</v>
      </c>
      <c r="C41" s="31">
        <v>21</v>
      </c>
      <c r="D41" s="31" t="s">
        <v>96</v>
      </c>
      <c r="E41" s="32" t="s">
        <v>52</v>
      </c>
      <c r="F41" s="31">
        <v>1</v>
      </c>
      <c r="G41" s="36" t="s">
        <v>8</v>
      </c>
      <c r="H41" s="36">
        <v>1.4</v>
      </c>
      <c r="I41" s="36">
        <f>テーブル1[[#This Row],[人月(1st)]]*テーブル1[[#This Row],[リスク工数]]</f>
        <v>1.4</v>
      </c>
      <c r="J41" s="31" t="s">
        <v>119</v>
      </c>
    </row>
    <row r="42" spans="2:10">
      <c r="B42" s="31" t="s">
        <v>10</v>
      </c>
      <c r="C42" s="31">
        <v>22</v>
      </c>
      <c r="D42" s="31" t="s">
        <v>108</v>
      </c>
      <c r="E42" s="35" t="s">
        <v>97</v>
      </c>
      <c r="F42" s="31">
        <v>1</v>
      </c>
      <c r="G42" s="32" t="s">
        <v>52</v>
      </c>
      <c r="H42" s="32">
        <v>1.5</v>
      </c>
      <c r="I42" s="36">
        <f>テーブル1[[#This Row],[人月(1st)]]*テーブル1[[#This Row],[リスク工数]]</f>
        <v>1.5</v>
      </c>
      <c r="J42" s="31" t="s">
        <v>120</v>
      </c>
    </row>
    <row r="43" spans="2:10">
      <c r="B43" s="31" t="s">
        <v>14</v>
      </c>
      <c r="C43" s="31">
        <v>2</v>
      </c>
      <c r="D43" s="31" t="s">
        <v>11</v>
      </c>
      <c r="E43" s="33" t="s">
        <v>8</v>
      </c>
      <c r="F43" s="31">
        <v>2</v>
      </c>
      <c r="G43" s="36" t="s">
        <v>8</v>
      </c>
      <c r="H43" s="36">
        <v>1.4</v>
      </c>
      <c r="I43" s="36">
        <f>テーブル1[[#This Row],[人月(1st)]]*テーブル1[[#This Row],[リスク工数]]</f>
        <v>2.8</v>
      </c>
      <c r="J43" s="31" t="s">
        <v>127</v>
      </c>
    </row>
    <row r="44" spans="2:10">
      <c r="B44" s="31" t="s">
        <v>14</v>
      </c>
      <c r="C44" s="31">
        <v>3</v>
      </c>
      <c r="D44" s="31" t="s">
        <v>110</v>
      </c>
      <c r="E44" s="34" t="s">
        <v>18</v>
      </c>
      <c r="F44" s="31">
        <v>0.5</v>
      </c>
      <c r="G44" s="34" t="s">
        <v>18</v>
      </c>
      <c r="H44" s="34">
        <v>1.3</v>
      </c>
      <c r="I44" s="36">
        <f>テーブル1[[#This Row],[人月(1st)]]*テーブル1[[#This Row],[リスク工数]]</f>
        <v>0.65</v>
      </c>
      <c r="J44" s="31" t="s">
        <v>128</v>
      </c>
    </row>
    <row r="45" spans="2:10">
      <c r="B45" s="31" t="s">
        <v>14</v>
      </c>
      <c r="C45" s="31">
        <v>6</v>
      </c>
      <c r="D45" s="31" t="s">
        <v>27</v>
      </c>
      <c r="E45" s="34" t="s">
        <v>18</v>
      </c>
      <c r="F45" s="31">
        <v>0.5</v>
      </c>
      <c r="G45" s="34" t="s">
        <v>18</v>
      </c>
      <c r="H45" s="34">
        <v>1.3</v>
      </c>
      <c r="I45" s="36">
        <f>テーブル1[[#This Row],[人月(1st)]]*テーブル1[[#This Row],[リスク工数]]</f>
        <v>0.65</v>
      </c>
      <c r="J45" s="31" t="s">
        <v>141</v>
      </c>
    </row>
    <row r="46" spans="2:10">
      <c r="B46" s="31" t="s">
        <v>14</v>
      </c>
      <c r="C46" s="31">
        <v>9</v>
      </c>
      <c r="D46" s="31" t="s">
        <v>109</v>
      </c>
      <c r="E46" s="34" t="s">
        <v>18</v>
      </c>
      <c r="F46" s="31">
        <v>2</v>
      </c>
      <c r="G46" s="32" t="s">
        <v>52</v>
      </c>
      <c r="H46" s="32">
        <v>1.5</v>
      </c>
      <c r="I46" s="36">
        <f>テーブル1[[#This Row],[人月(1st)]]*テーブル1[[#This Row],[リスク工数]]</f>
        <v>3</v>
      </c>
      <c r="J46" s="31" t="s">
        <v>142</v>
      </c>
    </row>
    <row r="47" spans="2:10">
      <c r="B47" s="31" t="s">
        <v>14</v>
      </c>
      <c r="C47" s="31">
        <v>12</v>
      </c>
      <c r="D47" s="31" t="s">
        <v>98</v>
      </c>
      <c r="E47" s="34" t="s">
        <v>18</v>
      </c>
      <c r="F47" s="31">
        <v>2</v>
      </c>
      <c r="G47" s="36" t="s">
        <v>8</v>
      </c>
      <c r="H47" s="36">
        <v>1.4</v>
      </c>
      <c r="I47" s="36">
        <f>テーブル1[[#This Row],[人月(1st)]]*テーブル1[[#This Row],[リスク工数]]</f>
        <v>2.8</v>
      </c>
      <c r="J47" s="31" t="s">
        <v>143</v>
      </c>
    </row>
    <row r="48" spans="2:10">
      <c r="B48" s="31" t="s">
        <v>14</v>
      </c>
      <c r="C48" s="31">
        <v>24</v>
      </c>
      <c r="D48" s="31" t="s">
        <v>111</v>
      </c>
      <c r="E48" s="34" t="s">
        <v>18</v>
      </c>
      <c r="F48" s="31">
        <v>1.5</v>
      </c>
      <c r="G48" s="34" t="s">
        <v>18</v>
      </c>
      <c r="H48" s="34">
        <v>1.3</v>
      </c>
      <c r="I48" s="36">
        <f>テーブル1[[#This Row],[人月(1st)]]*テーブル1[[#This Row],[リスク工数]]</f>
        <v>1.9500000000000002</v>
      </c>
      <c r="J48" s="31" t="s">
        <v>144</v>
      </c>
    </row>
    <row r="49" spans="2:10">
      <c r="B49" s="31" t="s">
        <v>93</v>
      </c>
      <c r="C49" s="31" t="s">
        <v>97</v>
      </c>
      <c r="D49" s="31" t="s">
        <v>94</v>
      </c>
      <c r="E49" s="35" t="s">
        <v>97</v>
      </c>
      <c r="F49" s="31">
        <v>0.6</v>
      </c>
      <c r="G49" s="35" t="s">
        <v>97</v>
      </c>
      <c r="H49" s="35"/>
      <c r="I49" s="36">
        <f>テーブル1[[#This Row],[人月(1st)]]*テーブル1[[#This Row],[リスク工数]]</f>
        <v>0</v>
      </c>
      <c r="J49" s="31" t="s">
        <v>133</v>
      </c>
    </row>
    <row r="51" spans="2:10">
      <c r="B51" s="13" t="s">
        <v>145</v>
      </c>
      <c r="C51" s="13" t="s">
        <v>146</v>
      </c>
      <c r="I51" s="13">
        <f>SUM(F32:F40,F42:F48,I41,F31)</f>
        <v>19.799999999999997</v>
      </c>
      <c r="J51" s="13" t="s">
        <v>157</v>
      </c>
    </row>
    <row r="52" spans="2:10">
      <c r="B52" s="13" t="s">
        <v>147</v>
      </c>
      <c r="C52" s="13" t="s">
        <v>148</v>
      </c>
    </row>
    <row r="53" spans="2:10">
      <c r="B53" s="13" t="s">
        <v>30</v>
      </c>
      <c r="C53" s="13" t="s">
        <v>149</v>
      </c>
    </row>
  </sheetData>
  <phoneticPr fontId="3"/>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defaultRowHeight="18.75"/>
  <sheetData>
    <row r="1" spans="1:1">
      <c r="A1" t="s">
        <v>112</v>
      </c>
    </row>
    <row r="2" spans="1:1">
      <c r="A2" t="s">
        <v>113</v>
      </c>
    </row>
    <row r="3" spans="1:1">
      <c r="A3" t="s">
        <v>114</v>
      </c>
    </row>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34649453A341C43BF2560C44F4FE6A2" ma:contentTypeVersion="3" ma:contentTypeDescription="新しいドキュメントを作成します。" ma:contentTypeScope="" ma:versionID="a44430439c8fb5c04de0fef248e32641">
  <xsd:schema xmlns:xsd="http://www.w3.org/2001/XMLSchema" xmlns:xs="http://www.w3.org/2001/XMLSchema" xmlns:p="http://schemas.microsoft.com/office/2006/metadata/properties" xmlns:ns2="b170269c-791d-46b6-a043-553603f7fd08" targetNamespace="http://schemas.microsoft.com/office/2006/metadata/properties" ma:root="true" ma:fieldsID="bc70174e6aaec45b9bbefb86b5325f2a" ns2:_="">
    <xsd:import namespace="b170269c-791d-46b6-a043-553603f7fd0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70269c-791d-46b6-a043-553603f7fd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19603D-2C75-400C-89B6-13EBA1F313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70269c-791d-46b6-a043-553603f7fd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EF76F2-80F7-4256-A1EF-3E7ABACF877C}">
  <ds:schemaRefs>
    <ds:schemaRef ds:uri="http://purl.org/dc/elements/1.1/"/>
    <ds:schemaRef ds:uri="http://purl.org/dc/terms/"/>
    <ds:schemaRef ds:uri="b170269c-791d-46b6-a043-553603f7fd08"/>
    <ds:schemaRef ds:uri="http://schemas.microsoft.com/office/2006/documentManagement/types"/>
    <ds:schemaRef ds:uri="http://purl.org/dc/dcmitype/"/>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0817E9E3-DE14-4BA4-98DF-B4641FDD1E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備考</vt:lpstr>
      <vt:lpstr>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金子 和弘(kazuhiro kaneko)/TEPSYS</dc:creator>
  <cp:keywords/>
  <dc:description/>
  <cp:lastModifiedBy>堀内　英徳</cp:lastModifiedBy>
  <cp:revision/>
  <dcterms:created xsi:type="dcterms:W3CDTF">2015-06-05T18:19:34Z</dcterms:created>
  <dcterms:modified xsi:type="dcterms:W3CDTF">2026-04-08T07:21:31Z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0x010100A34649453A341C43BF2560C44F4FE6A2</vt:lpwstr>
  </property>
</Properties>
</file>